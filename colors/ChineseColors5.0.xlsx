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1180" windowHeight="19300" activeTab="7"/>
  </bookViews>
  <sheets>
    <sheet name="蓝" sheetId="6" r:id="rId1"/>
    <sheet name="红" sheetId="1" r:id="rId2"/>
    <sheet name="橙" sheetId="11" r:id="rId3"/>
    <sheet name="黄" sheetId="3" r:id="rId4"/>
    <sheet name="绿" sheetId="4" r:id="rId5"/>
    <sheet name="青" sheetId="5" r:id="rId6"/>
    <sheet name="紫" sheetId="7" r:id="rId7"/>
    <sheet name="灰褐"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<sst xmlns="http://schemas.openxmlformats.org/spreadsheetml/2006/main" count="1967" uniqueCount="1774">
  <si>
    <t>色名</t>
  </si>
  <si>
    <t>色</t>
  </si>
  <si>
    <t>CMYK</t>
  </si>
  <si>
    <t>RGB</t>
  </si>
  <si>
    <t>《中国传统色》</t>
  </si>
  <si>
    <t>中科院《色谱》（无解释）</t>
  </si>
  <si>
    <t>《中国色彩图典》(画师整理)</t>
  </si>
  <si>
    <t>中华遗产《中国美色》（无色值）</t>
  </si>
  <si>
    <t>《中国颜色》黄仁达</t>
  </si>
  <si>
    <t>解释</t>
  </si>
  <si>
    <t>C</t>
  </si>
  <si>
    <t>M</t>
  </si>
  <si>
    <t>T</t>
  </si>
  <si>
    <t>K</t>
  </si>
  <si>
    <t>R</t>
  </si>
  <si>
    <t>G</t>
  </si>
  <si>
    <t>B</t>
  </si>
  <si>
    <t>总</t>
  </si>
  <si>
    <t>水蓝</t>
  </si>
  <si>
    <t>海天蓝</t>
  </si>
  <si>
    <t>远天蓝</t>
  </si>
  <si>
    <t>井天蓝</t>
  </si>
  <si>
    <t>星郎</t>
  </si>
  <si>
    <t>星蓝,其色上应列宿。《后汉书·显宗孝明帝纪》曰:“馆陶公主为子求郎,不许,而赐钱千万。谓群臣曰:‘郎官上应列宿,出宰百里,有非其人,则民受其殃,是以难之。’”。郎官对应星宿的典故,衍生而出的颜色意象。</t>
  </si>
  <si>
    <t>鸥蓝</t>
  </si>
  <si>
    <t>碧落</t>
  </si>
  <si>
    <t>道家称东方第一层天，碧霞满空，叫做“碧落”。后来泛指天上(天空)。“昔于始青天中，碧落空歌大浮黎土”，《渡人经》开篇就给出太空歌剧般的舞台，这是中国幻想的颜色。其色青碧高深，其意清透空灵。</t>
  </si>
  <si>
    <t>湖水蓝</t>
  </si>
  <si>
    <t>云水蓝</t>
  </si>
  <si>
    <t>云门</t>
  </si>
  <si>
    <t>杜注《左传》云“黄帝受命有云瑞,故以云纪事也”。故云门又称承云,为承受祥云福佑之意,周代制礼作乐时将《云门》列为“六乐”之首,用以祭祀天神。《云门》依凤凰之鸣分为十二音阶,歌颂黄帝“大施天下之道而行”。黄帝以云为纪,这云大概是星云,星云浩瀚,雨露均沾。</t>
  </si>
  <si>
    <t>清水蓝</t>
  </si>
  <si>
    <t>晴山</t>
  </si>
  <si>
    <t>云雾散而晴山蓝，也是一种约定俗成的颜色意象。</t>
  </si>
  <si>
    <t>缥色</t>
  </si>
  <si>
    <t>缥是指丝织物经由植物染料染成的颜色，《说文解字》曰:“缥者，帛青白色也。”另“缥”通“漂”，是浅淡之意,故缥色即浅青色，或现代所称的粉蓝色。古时运用重染的方法，把丝织品从原色不断地重复浸染，让颜色从浅入深，分别染出色差有别的染物;而经由反复漂染的缥色丝绸布帛则可分为白缥、浅缥、中缥到绀（深）等不同蓝色程度的产品。《释名》也说:“缥犹漂。漂，浅青色也。有碧缥，有天缥，有骨缥，各以其色所象言之也。”另古籍《楚辞·王·九怀·通路》中的“红采兮骍衣，翠缥兮为裳”是形容衣色的穿着配搭，文中的骍是指赤色或赤黄色;古时称上半身穿的为衣，腰以下的则称裳,男女通用;文句是写红赤色的上衣搭配着翠蓝色的下裙，反映出古人喜爱以冷暖色调的服色相互衬托出耀眼的衣着美感。缥又同“飘”，即飞扬之意，如“风缥缥其高逝兮”(《汉书·贾谊传》);而缥缈是形容隐隐约约、似有还无之间的意象与景色，如“山在虚无缥缈间”，意指触目所及的远方群山若隐若现之貌。在古代经书古籍习惯以缥色布帛装订封套，故缥轶是指浅青色的书衣，缥湘为书卷的别称(淡青色的帛为缥，淡黄色的帛为湘),缥囊是放书的书袋。“名溢缥囊”是形容文人之多，超越书籍记载之意。而缥碧是形容清澈见底的水色，如“水皆缥碧，千丈见底;游鱼细石，直视无碍”（南朝梁吴均《与朱原思书》）。我国最早出现的瓷器为青瓷，成品釉色呈浅灰蓝色，—方面是由于釉的成分含有金属物氧化铁，另一方面是受到烧制的温度影响，故在氧化焰中会烧制出黄色，在还原焰中会烧制出淡青色，所以古时又称青瓷为缥瓷。西晋文学家潘岳有一句话形容这两种釉色的酒瓷器:“披黄苞以授甘，倾缥瓷以酌醺。”(《笙赋》）即一只酒器色如黄色的花苞，另一只是粉蓝色;醺是味道醇厚的酒。</t>
  </si>
  <si>
    <t>秋波蓝</t>
  </si>
  <si>
    <t>星蓝</t>
  </si>
  <si>
    <t>玉色</t>
  </si>
  <si>
    <t>玉色：玉的颜色，高雅的淡绿、淡青色</t>
  </si>
  <si>
    <t>碧蓝</t>
  </si>
  <si>
    <t>碧蓝：青蓝色</t>
  </si>
  <si>
    <t>窃蓝</t>
  </si>
  <si>
    <t>方以智《通雅·衣服·彩色》日“凡言窃言盗，皆借色、浅色、闲色也。鸟九扈、有窃脂、窃蓝等色。《尔雅》虎窃毛,谓浅色也;扈之窃脂,言其色如靠肉也;窃蓝,浅蓝也；八骏有盗骊,盗亦窃,意谓浅骊也。古人善巧炼字,大率如此”。窃蓝,在汉语言历史上是可考的第一个淡蓝色颜色词,宜存宜保。上古首次给出浅蓝的传统色场景是催促秋收的农桑候鸟颜色，（《尔雅·释鸟》曰“秋扈，窃蓝”）金黄色的稻黍和浅蓝色的小鸟,好似凡·高的画卷。出自《尔雅》: 春扈,鴘鶥。夏扈,窃玄。秋扈,窃蓝。冬扈,窃黄。桑扈,窃脂。棘扈,窃丹。行扈,惜唶。宵扈,啧啧。”扈就是平时说的燕雀，这八种燕雀鸟，再加上一个老扈，合起来就是九农正,因为这九种鸟在不同的农时出现。古人不会用数字去表示色值,但他们会巧妙地用字来表示色值,“窃”“盗”“小”“退”“不肯”都表示浅色。</t>
  </si>
  <si>
    <t>晴山蓝</t>
  </si>
  <si>
    <t>湖蓝</t>
  </si>
  <si>
    <t>品月</t>
  </si>
  <si>
    <t>清代服饰流行色,出处与月白相关,其色较月白更蓝。月白、品月、蓝、石青是由浅及深的蓝色。清代服饰流行色,从故官收藏的服装看,品月较月白而言更深更蓝。</t>
  </si>
  <si>
    <t>东方既白</t>
  </si>
  <si>
    <t>黎明,太阳跃出地平线时的高空天色，蓝朦白透。语出苏载《前赤壁赋》“客喜而笑,洗盏更酌。肴核既尽,杯盘狼藉。相与枕藉乎舟中，不知东方之既白”日将出而未出，酒将醒而未醒,天色透白，睡意阑珊。</t>
  </si>
  <si>
    <t>霁青</t>
  </si>
  <si>
    <t>霁色</t>
  </si>
  <si>
    <r>
      <rPr>
        <sz val="11"/>
        <color theme="1"/>
        <rFont val="方正粗黑宋简体"/>
        <charset val="134"/>
      </rPr>
      <t>汉语霁字本义为停止或雨停之意:“霁，雨止也。”(《说文解字》)后引申为历经大雪风霜后的光明晴蓝的天色或风清月朗的夜色。
古时“霁”字又常被用来描述不分昼夜、季节，风霜雨雪渐远后的清新自然天象，例如霁日是大雨后又见阳光的晴朗天气;霁朝是雨停后初晴的早晨;霁景是风雨或大雪过后的鲜明景色。在古诗文中,像宋代诗人柳永《佳人醉》中的“暮景萧萧雨霁，云淡天高风细”，是叙述雨后天色放晴的景象;宋人林仰的“霁霞散晓月犹明,疏木挂残星”(《少年游·早行》)，是破晓时分雨霞退散后，明月与孤星仍高悬天际的静谧景色;而“虹销雨霁，彩彻云衢”（唐朝王勃《滕王阁序》)，则是雨停了彩虹也消失后，风和日丽的大自然美景。此外，霁色也代表寒冬降雪后的天空所呈现的天蓝色泽，如“终南阴岭秀，积雪浮云端。林表明霁色，城中增暮寒。”(唐朝祖咏《终南望余雪》）诗中的终南是指陕西的终南山。
霁月原是形容风雨过后鲜明洁净的月色，之后在成语“光风霁月”中则被引申为比喻政治清明与天下安宁的世局，或比喻人品的光明正大与坦荡的心胸。另“风光月霁”又可借喻为平静清澈的心境，如“风光月霁，是吾心太虚真境;鸟语花阴，是吾心无尽生意。”(明朝苏浚《鸡鸣偶记》）而霁颜或色霁却指怒气全消，貌转和颜悦色之意。
色泽与天青色相近的颜色名词霁色，在现代汉语中已不常出现及应用。</t>
    </r>
    <r>
      <rPr>
        <sz val="11"/>
        <color theme="9" tint="-0.499984740745262"/>
        <rFont val="方正粗黑宋简体"/>
        <charset val="134"/>
      </rPr>
      <t>天蓝色，雨雪停后的天色。宋高僧释正觉有“小雪纤纤洗霁色，新春冉冉入烧痕”之句。</t>
    </r>
  </si>
  <si>
    <t>天青</t>
  </si>
  <si>
    <r>
      <rPr>
        <sz val="11"/>
        <color theme="1"/>
        <rFont val="方正粗黑宋简体"/>
        <charset val="134"/>
      </rPr>
      <t>天青是指滂沱大雨后天空放晴的颜色，即天蓝色，又指天气晴朗、万里无云的自然天色，色感有令人心情愉悦、脚步轻快的感觉。晋代书法家王羲之就曾写下这样的传世佳句:“天朗气清，惠风和畅，仰观宇宙之大，俯察品类之盛，所以游目骋怀，足以极视听之娱。”(《三月三日兰亭诗序》)
天空无尘、可极目远眺的天蓝色，在古代西方象征着贵族的颜色，也代表众神居住的天堂的神圣色彩。在欧洲14世纪之前的宗教油画中，圣母玛利亚身披天蓝色的外袍，寓意着纯洁与无瑕的完美形象。在古代的颜色用词中，青色原又泛指蓝色;古文“天青日晏”中的晏字，可以解释为天晴无云的意思，即指耀目清澈的天色。
天青色在传统中亦代表光明磊落的颜色。明末隐士洪应明写于万历三十年的《菜根谭》中说“君子之心事，天青日白，不可使人不知”，即是以洁净的天色比喻君子做人坦荡光明，无不可告人的秘密。而以守法清廉事迹传世的北宋官吏包拯，身后在民间被誉为包青天，意即操守德行明洁若蓝天。
天青色也可形容宜人的服色，如“身上穿件雨过天青大牡丹漳绒马褂，腰下也挂着许多佩带”（清朝曹朴《孽海花》第二十一回）。在古瓷中最有名的天青釉色瓷相传烧自五代十国后周世宗(在位时间:954—959）的柴窑(窑址在今河南郑州)。据说当时官员请示该烧制什么样的瓷器时，世宗批道:“雨过天青云破处，者般（意即这般）颜色做将来。”结果烧成的器物“青如天、明如镜、薄如纸、声如磬”，而且“(釉色）滋润细腻”（清朝朱琰《陶说》卷二)。可惜柴窑传世之作品稀有，到明代时已很少见，据说当时只是柴窑的碎片就可以和黄金与翠玉等价，所以后人又有“柴窑片瓦值千金”的赞誉。至于烧制自当时柴窑的雨过天青釉色瓷器，今人就只能凭借古书中的文字记录揣摩其色了。</t>
    </r>
    <r>
      <rPr>
        <sz val="11"/>
        <color theme="9" tint="-0.499984740745262"/>
        <rFont val="方正粗黑宋简体"/>
        <charset val="134"/>
      </rPr>
      <t>雨后天空之色。为汝瓷独有色釉,周世宗将此色定义为“雨过天青云破处”之色。</t>
    </r>
  </si>
  <si>
    <t>碧青</t>
  </si>
  <si>
    <t>涧石蓝</t>
  </si>
  <si>
    <t>监德</t>
  </si>
  <si>
    <t>东方之晨星蓝光。语出《史记·天官书》“正月,与斗、牵手晨出东方,名日监德。色苍苍有光”。东方晨星的色泽，想起《老人与海》里天蒙蒙亮的出海，想起星辰大海。</t>
  </si>
  <si>
    <r>
      <rPr>
        <sz val="11"/>
        <color theme="1"/>
        <rFont val="宋体"/>
        <charset val="134"/>
      </rPr>
      <t>挼</t>
    </r>
    <r>
      <rPr>
        <sz val="11"/>
        <color theme="1"/>
        <rFont val="方正粗黑宋简体"/>
        <charset val="134"/>
      </rPr>
      <t>蓝</t>
    </r>
  </si>
  <si>
    <t>？</t>
  </si>
  <si>
    <r>
      <rPr>
        <sz val="11"/>
        <color theme="1"/>
        <rFont val="方正粗黑宋简体"/>
        <charset val="134"/>
      </rPr>
      <t>其色浸揉蓝草，其意诗情画境。白居易《春池上戏赠李郎中》味“直似按蓝新汁色，与君南宅染罗裙”。中国传统的青绿山水，可以用石青、石绿，你梦中的山水画，可以有水</t>
    </r>
    <r>
      <rPr>
        <sz val="11"/>
        <color theme="1"/>
        <rFont val="宋体"/>
        <charset val="134"/>
      </rPr>
      <t>挼</t>
    </r>
    <r>
      <rPr>
        <sz val="11"/>
        <color theme="1"/>
        <rFont val="方正粗黑宋简体"/>
        <charset val="134"/>
      </rPr>
      <t>蓝、山横黛，这是山水梦中的颜色。</t>
    </r>
  </si>
  <si>
    <t>羽扇豆蓝</t>
  </si>
  <si>
    <t>睛蓝</t>
  </si>
  <si>
    <t>孔雀蓝</t>
  </si>
  <si>
    <r>
      <rPr>
        <sz val="11"/>
        <color theme="1"/>
        <rFont val="方正粗黑宋简体"/>
        <charset val="134"/>
      </rPr>
      <t>如孔雀羽毛的蓝绿色，源自西亚的釉色。五代闽国刘华墓就曾出土3件孔雀
蓝釉陶瓶。</t>
    </r>
    <r>
      <rPr>
        <sz val="11"/>
        <color theme="0" tint="-0.499984740745262"/>
        <rFont val="方正粗黑宋简体"/>
        <charset val="134"/>
      </rPr>
      <t>孔雀与翠鸟，都是因为美丽而受伤的物种，孔雀蓝又名法蓝，不同于法翠，法蓝在烧制时添加了蓝色基调的颜料。亦称法蓝,由瓷器釉色得名。《南窑笔记》载“法蓝、法翠二色,旧惟成窑有,翡翠最佳。本朝有陶司马驻昌南传此二色,云出自山东琉璃窑也。其制,用涩胎上色,复入窑烧成者,用石末、铜花、牙硝为法翠，加入青料为法蓝”。</t>
    </r>
  </si>
  <si>
    <t>苍苍</t>
  </si>
  <si>
    <t>或水或天,其色幽蓝;或草或木,茂密盛
开。此处,取前者其色也。海天一色,我们曾感动于《海阔天空》，感动于“一生不羁放纵爱自由”。</t>
  </si>
  <si>
    <t>海青</t>
  </si>
  <si>
    <t>云山蓝</t>
  </si>
  <si>
    <t>菘蓝</t>
  </si>
  <si>
    <t>菘蓝的叶子沤浸着色是古老传统,青出于蓝而胜于蓝,这是青云直上的胎床。菘蓝叶晒干、沤制，其沉淀物是蓝色染料。宋应星《天工开物》载“凡蓝五种，皆可为淀。茶蓝即菘蓝，插根活。蓼蓝、马蓝、吴蓝等皆撒子生。近又出蓼蓝小叶者，信名苋蓝，种更佳”。古代最初用的是菘蓝，后来逐渐发现了蓼蓝、马蓝、吴蓝、苋蓝诸种，均可以制靛之蓝。因此才有《萄子.劝学)的“青取之于蓝，而青于蓝”。菘蓝,最广泛应用和最重要的天然蓝色染料。菘蓝是中国原产的染色植物,说起来并不陌生——菘蓝的根就是我们经常认为“无敌”的（北）板蓝根。崧蓝的叶子经过清水浸泡中暴晒、石灰水中击打搅拌等过程,就发酵成可以染蓝的染料——蓝靛。“凡蓝五种”, 菘蓝、蓼蓝、马蓝、木蓝、苋蓝都是这样变成蓝色染料的。夏代时，蓼蓝就有种植记录。北方的气候适合种植菘蓝和蓼蓝，南方则适合种植马蓝和木蓝。东汉文人赵岐路过河南开封一带时深有感触:“余就医偃师，道经陈留。此境人皆以种蓝染绀为业。蓝田弥望，黍稷不植。”种植蓝草的诱惑，胜过种植庄，陈留这个地方种的是马蓝，马蓝的根就是(南）板蓝根。 植物蓝靛，不仅可以是布帛的染料，还可以是壁画和建筑的颜料，敦煌壁画和故宫的建福宫彩画中都发现了蓝靛颜料。明代宣德年间生产的瓷青纸和羊脑笺，也是用植物蓝靛染色而成，主要用于宫廷中的宗教事务，是纸张中的奢侈品，用金银泥在其上书写佛经、文牒等，金银色与靛蓝色的配色绝佳。</t>
  </si>
  <si>
    <t>宝蓝</t>
  </si>
  <si>
    <r>
      <rPr>
        <sz val="11"/>
        <color theme="1"/>
        <rFont val="方正粗黑宋简体"/>
        <charset val="134"/>
      </rPr>
      <t>鲜亮的蓝色，为纯净蓝宝石的颜色。因富有光泽感，常与金色搭配得华丽高贵，又可配白色衬托素雅气质，为古代王公贵族的服饰常用色。</t>
    </r>
    <r>
      <rPr>
        <sz val="11"/>
        <color theme="0" tint="-0.499984740745262"/>
        <rFont val="方正粗黑宋简体"/>
        <charset val="134"/>
      </rPr>
      <t>宝蓝：鲜艳明亮的蓝色（注：英文中为RoyalBlue 即皇家蓝色，是皇室选用的色彩，多和小面积纯黄色（金色）配合使用。 ）</t>
    </r>
  </si>
  <si>
    <t>蝶翅蓝</t>
  </si>
  <si>
    <t>钴蓝</t>
  </si>
  <si>
    <t>带绿的蓝色。来自西亚的钴原料传入我国，常用于陶瓷、玻璃、珐琅等材料的着色。</t>
  </si>
  <si>
    <t>吐绶蓝</t>
  </si>
  <si>
    <t>角鸡的喉下肉裙,有钴蓝色间纹,载于《清宫鸟谱》。吐绶之嗉，红底蓝纹,其蓝如钴,其文如寿。任昉《述异记》载“吐绶鸟身大如覆，五色，出巴东山中。毛色可爱,若天睛淑景,即吐绶,长一尺,须更还吞之”。</t>
  </si>
  <si>
    <t>潮蓝</t>
  </si>
  <si>
    <t>宝石蓝</t>
  </si>
  <si>
    <t>石青</t>
  </si>
  <si>
    <r>
      <rPr>
        <sz val="11"/>
        <color theme="1"/>
        <rFont val="方正粗黑宋简体"/>
        <charset val="134"/>
      </rPr>
      <t>石青为天然矿石，呈玻璃光泽的蓝色，经研磨成粉状后成为绘画用的颜料，与青金石、石绿和朱砂合称为天然的纯矿物色，亦是传统绘画中流传最久远、最受重视的矿料用色。
石青又名蓝铜矿，常与孔雀石共生，属青色盐基性碳酸铜，结晶构造属单斜晶体的单斜柱。因石青与石绿的物理性质相近，故可混色使用，调制出各种不同深浅色度、偏绿或偏蓝的亮丽群绿（蓝）色。石青矿石的结晶体又因不同的纯度而产生不同色调的蓝色。在古籍中，石青又有兽青、空青、绀青、白青等各种色名，其中色泽浓蓝的为绀青。色名到了明清时才统一称为“石青”。
我国近年发掘出战国时期楚墓内的绘画，画中有细线描绘的彩色图像,四角则画上树木，并分别涂上青、赤、黑、白四种颜色，以象征四时与四方，而这里的青应为使用石青的最早记载。此外，约在东汉初期，僧侣的足迹从印度经天山南北路一直到中原，而佛教艺术也传至新疆。今位于新疆拜城县于2—3世纪开凿的克孜尔干佛洞，是迄今发现的最早的石窟。在长达2千米的沙石上，先民历时近干年凿造200多个洞窟，遗留超过10000多平方米的彩绘壁画，题材内容主要是佛祖的生平事迹、乐伎飞天、珍禽异兽和边饰图案等。在用色上，早期壁画多采用石青与石绿矿物颜料，画面敷色较平淡，其目的是为了用柔和的蓝色与绿色来烘托出和谐平静的佛教信仰色彩。
而别称蓝铜矿的石青英文为Azurite，是源自阿拉伯语中的蓝色Azhward,含义为蔚蓝色,泛指地中海万里晴空的天色，因而法国也称其阳光明媚亮眼的南部沿岸为蔚蓝海岸( CoteD’Azure )。石青的色感含义又随着时代的演进而改变，从最早象征宗教、庄严、神圣，到近代已成为休闲、舒畅、阳光与海洋的代名词。</t>
    </r>
    <r>
      <rPr>
        <sz val="11"/>
        <color theme="0" tint="-0.499984740745262"/>
        <rFont val="方正粗黑宋简体"/>
        <charset val="134"/>
      </rPr>
      <t>石青：淡灰绿色</t>
    </r>
  </si>
  <si>
    <t>淡蓝灰</t>
  </si>
  <si>
    <t>鸢尾蓝</t>
  </si>
  <si>
    <t>青冥</t>
  </si>
  <si>
    <t>《楚辞·九章·悲回风》日“据青冥而撼虹兮,遂倏忽而扪天”。青冥是高高的天色，天高不可测，建安七子之一的徐斡说从青冥这样的高天再往上望，就可以望到天顶了。</t>
  </si>
  <si>
    <t>虹蓝</t>
  </si>
  <si>
    <t>花青</t>
  </si>
  <si>
    <t>蓝黑色。中国画中常用于点染、勾勒山石、湖海,以渲染幽僻、深邃的意境。</t>
  </si>
  <si>
    <t>尼罗蓝</t>
  </si>
  <si>
    <t>品蓝</t>
  </si>
  <si>
    <t>釉蓝</t>
  </si>
  <si>
    <t>安安蓝</t>
  </si>
  <si>
    <t>天蓝</t>
  </si>
  <si>
    <t>群青</t>
  </si>
  <si>
    <t>46，89，167</t>
  </si>
  <si>
    <r>
      <rPr>
        <sz val="11"/>
        <color theme="1"/>
        <rFont val="方正粗黑宋简体"/>
        <charset val="134"/>
      </rPr>
      <t>群青色是我国历史最悠久、古画中最常出现的矿物颜色之一，颜料来自经粉碎制成的青金石，工艺名叫“青金”。青金石也是人类认知最早的、可制作成珍贵饰品的最古老矿石之一。群青色呈饱和美丽的深蓝色泽，色感代表庄严、尊贵与明净，属于带有宗教信仰的色彩。
天然青金石多出自西域,英文称Lapis Lazuli，Lapis是“石”,Lazuli则源自拉丁语，意指一种半透明或透明的蓝(青)色。青金矿石的化学成分含钠、钙、铝、碳、硅、氧等多种元素;矿物属等轴晶体，可分为十二面体、八面体或立方体，晶体颜色有深蓝、紫蓝、天蓝及绿蓝等色，硬度为5~5.5，故也适合切割打磨成宝石工艺品。
青金石主要产地为阿富汗及我国西藏地区，因为容易与黄铁矿( Pyrite，为铜与铁的硫化物，色金黄)共生，故在浓浓的蓝色中会闪烁着点点的金属金色，因而青金石又被阿拉伯人赞誉为沙漠中的亮丽夜星。青金石早在古巴比伦时就已获开采，由于产地及产量稀少，故青金石自古就受到帝王的喜爱与器重，多用来制成皇帝佩戴的饰品，或琢磨成念珠、印章、烟盒等象征男性身份、地位的饰物用品。
青金石在西方从古希腊、古罗马直至文艺复兴时期，被磨成粉末，作为绘画颜料使用，群青色常用在许多著名的油画上。在我国古代,青金石的蓝色又称为金精、佛青及群青等。从北凉、北魏、西魏直至北周、隋朝、唐朝、五代、北宋、西夏、元朝等历代大部分的洞窟壁画，特别是甘肃天水麦积山石窟、敦煌莫高窟及西干佛洞、新疆克孜尔干佛洞等石窟，以至西藏唐卡彩画，大多应用了青金石颜料，因此丝绸之路的西半段也可说是“青金石之路”。
群青又是古代建筑彩画中普遍采用的装饰用色，经常与金色、红色和绿色搭配出沉稳、华丽的东方色彩效果。但由于青金石产地与原石非常稀有，现今已很少采用。而“群青”一名到了现在，则属于油彩及油漆等人造颜料的专用名词。</t>
    </r>
    <r>
      <rPr>
        <sz val="11"/>
        <color theme="9" tint="-0.499984740745262"/>
        <rFont val="方正粗黑宋简体"/>
        <charset val="134"/>
      </rPr>
      <t>深蓝色,取自天然矿物青金石。在古代建筑彩绘中，常与红、绿色搭配,显得沉稳、华丽。</t>
    </r>
    <r>
      <rPr>
        <sz val="11"/>
        <color theme="0" tint="-0.499984740745262"/>
        <rFont val="方正粗黑宋简体"/>
        <charset val="134"/>
      </rPr>
      <t>与青金石有关的颜色都透着一股贵气和洋气。 中国画传统颜料色,群而有集,青出金石。古时,由青金石矿物研磨加工而成的蓝色颜料称为天然群青,物以稀为贵,近世西方人工合成群青,迅速普及,但是不如天然群青淡雅、庄重。古诗中群青也指草木之青绿。青金石因为贵重,很难作为颜料长期使用。后来，群青的替代品是类似青金石色的天然矿物,化学成分是含硫的硅酸铝钠络合物。块状者略带红，称作佛青或伏青;颗粒状者,称作藏青或沙青。这些群青颜料，多用在宗教壁画中。 现在还在生产颜料的老字号“姜思序堂”，生产的这种颜色的商品标注的是青金石粉，为淡蓝色。青金石在研磨后，进行多次漂洗，沉淀在第一个容器中的颗粒物是头青，宝蓝色;沉淀在第二个容器中的是二青，深蓝色;三青、四青、五青,趋近天蓝色、淡蓝色。 品质好的青金石粉是宝蓝色，清末矿物学家章鸿钊在《石雅》中说:“青金石色相如天，或复金屑散乱，光辉灿烂，若众星之丽于天也。”品质好的天然群青颜料，自带珠光宝气,清澈超俗,可惜不多见了。</t>
    </r>
    <r>
      <rPr>
        <sz val="11"/>
        <color theme="0" tint="-0.349986266670736"/>
        <rFont val="方正粗黑宋简体"/>
        <charset val="134"/>
      </rPr>
      <t>群青：深蓝色</t>
    </r>
  </si>
  <si>
    <t>海军蓝</t>
  </si>
  <si>
    <t>牵牛花蓝</t>
  </si>
  <si>
    <t>柏林蓝</t>
  </si>
  <si>
    <t>湛蓝</t>
  </si>
  <si>
    <r>
      <rPr>
        <sz val="11"/>
        <color theme="1"/>
        <rFont val="方正粗黑宋简体"/>
        <charset val="134"/>
      </rPr>
      <t>汉语“湛”字本义为深沉及水深貌，《楚辞·招魂》中有言:“湛湛江水溪上有枫。”湛又指澄澹的颜色，如“水木湛清华”(东晋谢混《游西池》)。湛蓝是形容明亮剔透的阳光下深邃、平静的水色。
归属于传统青色系列的湛蓝色为大自然的色彩,色调明静，赋予人们愉快舒畅的感觉,故“湛”字又通“耽”字，即耽(湛)乐之意。湛蓝亦寓意远邃无边的晴空天色，苏轼的“水天清，影湛波平”(《行香子·过七里濑》）是写天光水影的湛蓝色。古人对色彩大多敏感，文人亦感受到湛蓝属于清冷的色调，例如李白《桓公井》中提到“寒泉湛孤月”，是描写秋天冷泉倒映清湛的月色;又古典名著《西游记》第十五回中的“涓涓寒脉穿云过，湛湛清波映日红”，是作者吴承恩描述腊月寒天里，在朔风凛凛下，蛇盘山鹰愁涧中冰冷河水的颜色。
湛蓝又象征暗夜里空虚、深邃的虚色，如“凉风起将夕，夜景湛虚明”(陶渊明《辛丑岁七月赴假还江陵夜行图中诗》)。另外，李白的“湛然冥真心”(《庐山东林寺夜怀》）则是记述诗人夜访寺院，虚心冥坐潜思的清心境地。湛蓝在佛教中亦有着代表纯正、明净清虚的最深境界。
青海湖以湛蓝清澈的湖水闻名。这座中国最大的咸水湖藏语称为“凑纹波”，蒙古语叫“库库诺尔”，两者都是“蓝色大海”的意思。蓝色在藏族的信仰中占有重要的地位，藏民相信天地是由三部分组成的:上层白色为天空，属于神祇的世界;中间是红色大地，为世间万物的居地;下层则是蓝色的水世界，是蟠龙的藏身所在。因此，宏大无边、水色湛明的青海湖，在藏民的信仰中地位崇高神圣，是世代族人敬拜的圣湖。
在彩色宝石的蓝钻石中，历来以含有硼成分的晶莹的湛蓝色宝石最为珍贵。而在古瓷中，于清朝康熙年间以土产浙釉料烧成的瓷器，发色华丽深稳、如宝石般的湛蓝色，又称“佛头蓝”。这种釉色圆润的蓝色，使康熙青花瓷足以独步清代，甚至可以和明代宣德年间的青花瓷遥相辉映。</t>
    </r>
    <r>
      <rPr>
        <sz val="11"/>
        <color theme="9" tint="-0.499984740745262"/>
        <rFont val="方正粗黑宋简体"/>
        <charset val="134"/>
      </rPr>
      <t>深邃的蓝色，多用于形容天色、山色或湖海之色。宋人释师观有诗:“葛公住此山，此山湛如蓝。”</t>
    </r>
  </si>
  <si>
    <t>靛青</t>
  </si>
  <si>
    <r>
      <rPr>
        <sz val="11"/>
        <color theme="1"/>
        <rFont val="方正粗黑宋简体"/>
        <charset val="134"/>
      </rPr>
      <t>深蓝青色。从蓝草中提取的颜料，是中国民间手工艺常用的颜色。江南的蓝印花布便是此色。</t>
    </r>
    <r>
      <rPr>
        <sz val="11"/>
        <color theme="0" tint="-0.499984740745262"/>
        <rFont val="方正粗黑宋简体"/>
        <charset val="134"/>
      </rPr>
      <t>靛青：也叫“蓝靛”。用蓼蓝叶泡水调和与石灰沉淀所得的蓝色染料。呈深蓝绿色 （注：有些地方将蓝墨水称为“靛水”或者“兰靛水”）</t>
    </r>
  </si>
  <si>
    <t>青花蓝/苏麻离青</t>
  </si>
  <si>
    <t>青花蓝是我国瓷器工业中最有名的一种釉色，是闻名古今中外逾700年的中华传统工艺颜色之一。青花是指在白色瓷器上釉绘出青色花纹图案后，经高温烧就的一种蓝色;而着色釉料是一种含金属元素钴（化学元素符号Co，英文名称Cobalt )的矿物。5000年前，古埃及已经使用钴矿料烧制出蓝色的玻璃作为绘画的蓝色颜料。
烧制色泽如蓝宝石般圆润美丽的青花蓝，除了需要冰肌玉骨的胎釉因素及烧制技艺外，关键还取决于青花釉料，即钴料的品质。尽管在浙江、江西、福建及广东等—带都出产钴矿(古称吴须、唐吴须)，但因吴须含氧化锰(MnO2 )及其他杂质太多，加上古时陶艺师傅清除杂质的技术与经验不足，致使早年的青花器皿颜色灰暗，达不到人们欣赏与收藏的标准。
相反，从西域进口的钴料质量好，含杂质较少、纯度高，可烧制出悦目的釉蓝色，这就是在元、明时期大量进口钴矿料的诱因。最早的蓝色青花瓷约始于唐代，窑址在河南省巩义市，直到元朝在江西景德镇设立官窑后，由于烧瓷手工艺有了新发展，加上大量使用进口自波斯（今伊朗）、称为“苏麻离青”（音译自波斯语，原指一种蓝色的玻璃）的钴蓝料，闻名的元青花终于问世，而景德镇亦渐成为全国制瓷中心。
纵观我国的瓷器品种演变过程，元代以前占主流地位的是白瓷与青瓷，到了元代，这种工艺形态才被打破，而青花瓷的颜色亦因蒙古族统治者的特别喜好而盛行于当时。据传说，蒙古族将苍狼和白鹿作为图腾崇拜，苍指天蓝色，白色也是蒙古族的吉色。蒙古民族尊天敬祖，蓝与白是伟大的民族颜色标志;而蓝白相辉映的青花瓷也就蕴含着元人这种不忘祖典的寓意。而利用进口的“苏麻离青”作为着色剂所烧制出的青花蓝釉色，呈浓重稳健与温润的色泽，带点铁锈痕且发出锡光，能产生典雅高贵的艺术与色感效果，于是元青花开创了这个中国独有的青花瓷器生产的黄金时期。
明朝郑和七下西洋，青花瓷器亦跟随郑和的宝船漂洋过海，循水路经南洋远销到西洋各地。三宝公的舰队除对外输出青花瓷器皿外，还带回了高档的苏麻离青釉料。自从郑和的下西洋远睦活动停止后，也是这种优质青料停止大量进口的时候。而色泽高雅大气的青花釉色，也代表着我国精湛瓷器手工艺的成熟，并成为后世典藏家搜集、收藏与追捧的稀有色彩对象。</t>
  </si>
  <si>
    <t>吴须</t>
  </si>
  <si>
    <t>吴须，为陶瓷器釉彩用的蓝色矿土颜料古名称，英文称“东方蓝”( Oriental blue )。
吴须，又名本吴须、唐吴须，是一种含有大量钴、锰、铁的黑褐色黏土名称，是烧制釉绘陶瓷的主要颜料。在距今2000多年前的战国时期，陶艺技工已懂得用氧化钴做着色剂，但由于技术限制和原料杂质太多等原因，那时候采用的吴须成色极不稳定，未能达到古人所推崇及追求的“青”（蓝）色效果——代表古人宇宙观的阴阳五行说认为，青为正色之一，为吉祥的颜色。
瓷器是我国著名的发明之一，因而英文以小写的“china”代表这种源自我国的装饰与实用器皿。据考证,“瓷”—字迟至汉代才出现，故后人推算瓷器最早应始于汉代。青瓷到了东汉末年在浙江绍兴、余姚、上虞等地的越窑才真正烧制成功，在往后的几百年间，越窑的青瓷成了制瓷业的主流。直到明代万历年间引进高纯度的波斯“苏麻离青"( Smalt ,即矿物钴蓝)后，土产的吴须渐被取代。而这种能够让制成品色呈浓重青润、发出锡光的舶来品波斯着色剂，遂让明代的青花瓷大放异彩、美名远播，成为后世各国收藏家争相搜集的珍品。</t>
  </si>
  <si>
    <t>搪磁蓝</t>
  </si>
  <si>
    <t>柔蓝</t>
  </si>
  <si>
    <r>
      <rPr>
        <sz val="11"/>
        <color theme="1"/>
        <rFont val="方正粗黑宋简体"/>
        <charset val="134"/>
      </rPr>
      <t>亦作揉蓝,与</t>
    </r>
    <r>
      <rPr>
        <sz val="11"/>
        <color theme="1"/>
        <rFont val="宋体"/>
        <charset val="134"/>
      </rPr>
      <t>挼</t>
    </r>
    <r>
      <rPr>
        <sz val="11"/>
        <color theme="1"/>
        <rFont val="方正粗黑宋简体"/>
        <charset val="134"/>
      </rPr>
      <t>蓝同,指浸揉蓝草的浅蓝色。耶律楚材果然是才子,“风回一镜柔蓝浅,雨过千峰泼黛浓”，一句写尽湖光山色。柔蓝,出自蓝靛制作环节的颜色。制作蓝靛,从收割蓝草开始,蓝草的种类包括菘蓝、蓼蓝、马蓝、木蓝、苋蓝。蓝草收割时,地上的茎叶上部用于染色，茎叶下部留作种子,地下的根部用作药材,就是板蓝根（菘蓝是北板蓝根,马蓝是南板蓝根)。收割回来的蓝草茎叶上部，浸入靛缸,视温度浸泡3至7天,每日搅拌数次，茎叶发酵至清水变成蓝绿色。在这个环节,靛缸水的蓝绿色就是柔蓝,也称作揉蓝、挼蓝，揉和挼都有揉搓搅拌的意思。 唐代诗人卢延让很生动地记录下这个环节:“揉蓝尚带新鲜叶，泼血犹残旧折条。”新鲜的蓝草茎叶渐渐发酵，靛缸水到蓝绿色就好了，这时要用竹制的靛撩将靛缸里蓝草渣滓捞出来。蓝草渣滓捞干净后，要向靛缸里加入草木灰或蛎灰。而后就是打靛,要用靛耙不断在靛缸里搅拌,打到蓝色液体泛起靛花,这时的液体变成蓝紫色,靛花变成深蓝色。捞出的靛花晾干，就可以制成中国画颜料花青的上等品。而缸里的液体，还要经过净化、沉淀、放水,才能得到最终产品蓝靛,蓝靛是糊状物,储存起来,染色时即可使用。 柔蓝,慢慢失去制靛工艺的环节特征，而变成浅蓝色或蓝绿色的颜色词。</t>
    </r>
  </si>
  <si>
    <t>飞燕草蓝</t>
  </si>
  <si>
    <t>曾青</t>
  </si>
  <si>
    <t>亦称层青、朴青,中国画传统颜料色之石青的矿石之一，矿石属于蓝铜矿，化学成分是碱式碳酸铜。曾青、空青、扁青、藏青等都是蓝铜矿，外形和产地不同。其矿石成层状,一层深一层浅,或几层皆为深色,深者若青黛,浅者若天青。李时珍《本草纲目》云“曾音层。其青层层而生,故名。或云,其生从实至空、从空至层,故曰曾青也”。乾隆帝的“翠含螺黛山迎户,影覆曾青树隐天”，螺黛对曾青,分明是好诗。</t>
  </si>
  <si>
    <t>海涛蓝</t>
  </si>
  <si>
    <t>玉鈫蓝</t>
  </si>
  <si>
    <t>藏青</t>
  </si>
  <si>
    <t>藏青：蓝而近黑</t>
  </si>
  <si>
    <t>蓝色</t>
  </si>
  <si>
    <r>
      <rPr>
        <sz val="11"/>
        <color theme="1"/>
        <rFont val="方正粗黑宋简体"/>
        <charset val="134"/>
      </rPr>
      <t>蓝色在我国传统色彩系列中已有逾3000年的历史，是中华民族日常生活中最熟识和最普及的应用颜色，即普罗大众的衣物常服色。蓝色贯穿整部中华历史与庶民阶层文化，其色彩含义自古至今从未改变过。
古汉语蓝字原非颜色词，其本义是指一种可色染布帛的植物，即蓝草。《广韵》中有言:“蓝，音篮。染青草也。”古书《通志》又把蓝草分为三种:“蓼蓝染绿，大蓝如芥染碧，槐蓝如槐染青。三蓝皆可作淀，色成胜母，故曰青出于蓝而青于蓝。”即是说从蓝草提炼出的靛（淀），颜色比蓝草更深，由此可知青的原意是指深蓝色。古人习惯把蓝色统称为青色。在传统的“五色行”观中，青（蓝）属五正色之一，属木，方位代表东方，象征万物萌生的春天。
古时“青”字的含义较复杂，可当作绿、蓝、黑色使用，例如“过春风十里，尽荠麦青青”，是指春天田野间麦子的绿色;“暮景俯仰两青天，万顷玻璃一叶船”（宋朝陆游《渔父》）里的青天是蓝色;“朝如青丝暮成雪”（唐朝李白《将进酒》)中的青丝是指黑发。而蓝色又可用青、花青、佛青、回青、藏青、靛等颜色名词代换。
蓝色虽然自古即被定为五正色之一，但它在政治权势圈子中，历来的地位都不算显赫高贵，例如在唐宋时期的官位服色中，就屈居于间色绿之下，叨陪末座，仅属于当官的入门款，而且在官阶上从未发迹过。另在民间的衣饰装束中，蓝色亦多属于一般老百姓的穿着颜色。西汉成帝时期为禁止社会的奢华风气，在永始四年曾下诏:青、绿色为民众的常服色。另外，“青衣”是古时地位卑贱者的代称，属社会底层的色彩;《晋书·孝怀帝纪》记载，西晋末年怀帝司马炽被前赵匈奴王刘聪俘虏后，刘聪在宴席间命令怀帝“着青衣行酒”,以此侮辱他。
用蓝布做的衫袍古称青衫，是旧时学子的惯用服色,色感可显露出昔日读书人沉着自若的气质与风度。蓝布衣衫也是古时成熟村妇常穿的服色之一:“见那一船一船乡下妇女来烧香的，都梳着挑鬓头，也有穿蓝的，也有穿青绿衣裳的，年纪小的都穿些红绸单裙子。”(清朝吴敬梓《儒林外史》第十四回)此外，蓝榜是指用蓝笔批写的公告，与金榜题名高中状元时的荣耀刚好相反。古时乡试、会试时考生的文章写作不及格，就被取消考试资格，并公布出榜以示人，即称蓝榜。
大约自唐代开始，蓝色逐渐从青字中分离出来，正式成为颜色名词，并散见于唐诗中。蓝字被文人直接用来形容湛明无边际的天空色泽或清澈见底的水色，例如杜甫的“上有蔚蓝天，垂光抱琼台”(《冬到金华山观，因得故拾遗陈公堂遗迹》)</t>
    </r>
    <r>
      <rPr>
        <sz val="11"/>
        <color theme="1"/>
        <rFont val="Microsoft YaHei UI"/>
        <charset val="1"/>
      </rPr>
      <t>﹔</t>
    </r>
    <r>
      <rPr>
        <sz val="11"/>
        <color theme="1"/>
        <rFont val="方正粗黑宋简体"/>
        <charset val="134"/>
      </rPr>
      <t xml:space="preserve">李白也留下“江山水色青于蓝”[《鲁郡尧祠送窦明府薄华还西京》(时久病初起作)]的清凉诗句。
蓝色是元朝崇尚的色彩，因蒙古族将苍狼作为图腾崇拜，而苍是指天蓝色,因此元代的皇宫建筑都盖以蓝色琉璃瓦屋顶，以代表上天与蒙古人的渊源。而盛产于元、明时期的青花蓝，是迄今中外公认的古瓷器中的极品蓝釉色，是代表精湛烧瓷工艺的颜色。蓝色在佛教中是代表明净圣洁的颜色，又是西藏佛宗信徒诚心膜拜的神圣色彩之一。
</t>
    </r>
    <r>
      <rPr>
        <sz val="11"/>
        <color theme="0" tint="-0.499984740745262"/>
        <rFont val="方正粗黑宋简体"/>
        <charset val="134"/>
      </rPr>
      <t>蓝：三原色的一种。像晴天天空的颜色（注：这里的蓝色指的不是RGB色彩中的B，而是CMY色彩中的C）</t>
    </r>
  </si>
  <si>
    <t>景泰蓝</t>
  </si>
  <si>
    <t>景泰蓝曾是一种颜色名，是指珐琅彩器上的一种釉色，因以明代景泰年间所烧制出的如蓝宝石般的晶莹蓝色最悦目，故称这种珐琅色彩为景泰蓝，正名应称为“铜胎掐丝珐琅”。
珐琅是一种含玻璃质料（硅酸盐)的瓷器，珐琅彩颜料以硼、砷、金及锑等氧化金属矿物质配制成釉料，附着在金属胎体（主要为金胎、银胎与铜胎三种）上，经由677℃~800℃的较低熔融温度烧出各种不同的色泽，呈色绚丽浓艳，制成品具有玻璃般的光辉、玉的温润与瓷的细致质感等特性，又有耐腐蚀、耐高温、色光不会老化及变色的特性，是彩绘瓷器中最负盛名的品种之一。
珐琅在欧美称为Enamel ,最早的使用历史可追溯到古埃及法老所用的头饰。据记载，珐琅最早出现在13世纪的元代时期，是传自西域大食（即今天的阿拉伯地区)的手工艺制品，因当时多用孔雀蓝、宝石蓝色作为底衬色，所以珐琅一名又有可能是“发蓝”的讹称。另外珐琅在我国北方俗称为“烧蓝”，在南方则俗称为“烧青”。
珐琅彩瓷的生产到了清代达到巅峰，制成品主要供皇室欣赏及宫中摆设之用，由内务府所生产的制品更是精细可观。到了清乾隆年间，珐琅瓷除了传统的鱼虫花草纹样外，瓷匠艺师还吸收了西方的油画技法和题材，发展出把彩釉厚厚堆起，行语称为“堆料”的新技法;绘画内容亦出现了如西洋美女、圣经故事、天使与欧美风景等画题，同时俗称珐琅彩为“洋彩”，珐琅瓷甚至风行海外。
珐琅自明代的景泰蓝色开始，一直流传到清末的400多年间，已发展出艳丽多彩、色泽鲜亮夺目的珐琅彩，亦属于豪华高级的赏玩颜色。珐琅工艺精品至今存世量极其稀有，据称真品仅400件左右，现今大多珍藏在北京故宫与台北故宫博物院中，只供古玩文物爱好者隔空欣赏。</t>
  </si>
  <si>
    <t>青雀头黛</t>
  </si>
  <si>
    <t>官里用量大，河西献百斤。其色是妇人饰妆冶容之色，自古未及螺子黛。</t>
  </si>
  <si>
    <t>青黛</t>
  </si>
  <si>
    <r>
      <rPr>
        <sz val="11"/>
        <color theme="1"/>
        <rFont val="方正粗黑宋简体"/>
        <charset val="134"/>
      </rPr>
      <t>深蓝色,传说为波斯来的蓝色染料，唐代时用于画眉，价格高昂。白居易有
“小头鞋履窄衣裳，青黛点眉眉细长”之句。也用作形容湖光山色。</t>
    </r>
    <r>
      <rPr>
        <sz val="11"/>
        <color theme="0" tint="-0.499984740745262"/>
        <rFont val="方正粗黑宋简体"/>
        <charset val="134"/>
      </rPr>
      <t>菘蓝的叶子干燥可以制成药物或者化妆品,春情春意都浓烈，于春天最合乎时宜的句子是“二月春雨和春泥,半山青黛半山稀”。</t>
    </r>
  </si>
  <si>
    <r>
      <rPr>
        <b/>
        <sz val="11"/>
        <color rgb="FF333333"/>
        <rFont val="微软雅黑"/>
        <charset val="134"/>
      </rPr>
      <t>䒌</t>
    </r>
    <r>
      <rPr>
        <b/>
        <sz val="11"/>
        <color rgb="FF333333"/>
        <rFont val="Microsoft YaHei UI"/>
        <charset val="134"/>
      </rPr>
      <t>靘</t>
    </r>
  </si>
  <si>
    <r>
      <rPr>
        <sz val="11"/>
        <color theme="1"/>
        <rFont val="方正粗黑宋简体"/>
        <charset val="134"/>
      </rPr>
      <t xml:space="preserve">《广韵》曰“靘, </t>
    </r>
    <r>
      <rPr>
        <sz val="11"/>
        <color theme="1"/>
        <rFont val="Microsoft YaHei UI"/>
        <charset val="134"/>
      </rPr>
      <t>䒌靘</t>
    </r>
    <r>
      <rPr>
        <sz val="11"/>
        <color theme="1"/>
        <rFont val="方正粗黑宋简体"/>
        <charset val="134"/>
      </rPr>
      <t>,青黑”。《三苍》曰: 靘,冥果,青色也。冥果,蜜煎果也。以铜青浸之,加蜜而冥于击中,故曰冥果”。李斗《扬州画舫录》曰“合青则为</t>
    </r>
    <r>
      <rPr>
        <sz val="11"/>
        <color theme="1"/>
        <rFont val="Microsoft YaHei UI"/>
        <charset val="134"/>
      </rPr>
      <t>䒌靘”</t>
    </r>
    <r>
      <rPr>
        <sz val="11"/>
        <color theme="1"/>
        <rFont val="方正粗黑宋简体"/>
        <charset val="134"/>
      </rPr>
      <t>。冥果之色,以铜青浸色、再加蜜增色，,又存于黑暗的瓦罐中,这是暗黑食物的鼻祖色吧。</t>
    </r>
  </si>
  <si>
    <t>碧城</t>
  </si>
  <si>
    <t>其色星海幽蓝,其意天上人间。《太平御览》引《上清经》曰“(元始天尊）居紫云之阙,碧霞为城”。李商隐:“碧城十二曲阑干,犀辟尘埃玉辟寒”,想象中玉溪生的天空之城就是这个颜色。</t>
  </si>
  <si>
    <t>鷃蓝</t>
  </si>
  <si>
    <t>阴丹士林</t>
  </si>
  <si>
    <t>阴丹士林是20世纪初期从欧洲传入我国的棉布染料颜色，色泽深蓝中泛现暗紫色，是民国初年上海女性的时尚流行服色。
阴丹士林一词音译自英文Indanthrene,指的是一种人工化学合成的布染料，在1901年，由任职于德国化工企业贝尔（BYER)公司的雷利·波恩( Rene Bohn）发明，布帛可根据不同比例的染料瓮染成浅、中、深的蓝色。当年把舶来品阴丹士林染成的蓝色棉布称为“阴丹布”，有别于土产的蓝靛，故又称其为“洋靛”。
继清王朝覆灭，在上海新成立的军政府的倡导下，“剪辫子”的口号响遍上海滩，破旧立新的上海绅士开始改头换面，顶上头发以中间分界成五五开并抹上油蜡作为文明时尚的象征;而一种伟大的女服改革也从上海诞生并风靡全中国，那就是改良自满族装束的旗袍，把宽泡大袖改成贴身展露性感曲线的新式旗袍，而凑巧阴丹士林也搭上了这班时代列车，登上时髦的舞台。
随着服装潮流的演变，这种号称“颜色永远鲜艳，炎日曝晒和经久皂洗不褪色”的外来蓝色，遂成了搭配新款旗袍的时尚色彩，形成追求新颖的上海女性们的服装标杆与样色。在民国中后期，阴丹士林蓝布长袍又蔚然成风走入大学校园，成为高等学府中代表斯文持重的师生服色。
这种色泽近似德国普鲁士蓝、色感庄重大方的深蓝色，可算是上海摩登年代的象征与代表色，也在传统蓝色系列中成为一种变奏的时尚颜色，又是至今令人回味无穷的色彩。</t>
  </si>
  <si>
    <t>琉璃蓝</t>
  </si>
  <si>
    <r>
      <rPr>
        <sz val="11"/>
        <color theme="1"/>
        <rFont val="方正粗黑宋简体"/>
        <charset val="134"/>
      </rPr>
      <t>琉璃、陶瓷及青铜器，都是人类最早使用的人造材料。在古代因琉璃的原料稀有，故与金银、玉翠、陶瓷、青铜合称五大名器。而蓝琉璃是指色相呈湛蓝色的琉璃，是用于饰物和古建筑中的装饰建材或铺盖屋顶用的构件，色感庄严、持重。
琉璃是玻璃的前身，近代考古发掘发现，最早的琉璃制品出现在幼发拉底河与底格里斯河两河流域之间的美索不达米亚平原，即今天的伊拉克地区，时间在公元前2500年至公元前1000年之间，当地先民已懂得制造完全琉璃质地的器皿及饰件。之后制作琉璃的工艺技术广传到叙利亚、塞浦路斯、埃及和爱琴海地区，继而经由西域作为贡品东传入我国。
在我国，这种仿玉及半透明的琉璃的生产约在公元前11世纪的西周时期形成。早期的琉璃制品主要是皇室王公的身边饰物，是身份和地位的象征，平民百姓难得一见。琉璃在古籍中又有流璃、</t>
    </r>
    <r>
      <rPr>
        <sz val="11"/>
        <color theme="1"/>
        <rFont val="宋体"/>
        <charset val="134"/>
      </rPr>
      <t>瑠</t>
    </r>
    <r>
      <rPr>
        <sz val="11"/>
        <color theme="1"/>
        <rFont val="方正粗黑宋简体"/>
        <charset val="134"/>
      </rPr>
      <t>璃、琉黎、</t>
    </r>
    <r>
      <rPr>
        <sz val="11"/>
        <color theme="1"/>
        <rFont val="宋体"/>
        <charset val="134"/>
      </rPr>
      <t>瑠瓈</t>
    </r>
    <r>
      <rPr>
        <sz val="11"/>
        <color theme="1"/>
        <rFont val="方正粗黑宋简体"/>
        <charset val="134"/>
      </rPr>
      <t>,或颇黎等不同的称谓，均是音译自西域波斯、龟兹等古国的外来语，始用于西汉前期，亦即张骞通西域后才使用的器皿名词。
琉璃无论在古时西域还是古代中国都与宗教有着密切关系。在伊斯兰教中，琉璃品是祭典仪式中的礼器之一。在道教中，神仙使用的多是琉璃器具，统治三界生灵的玉皇大帝，其居所用的是琉璃打造的仙宫;道士提及的天界通常称为“琉璃仙境”。佛教世界中亦以琉璃为宝，认为其是避邪消病的灵物。琉璃的梵语为Vai Rya，意译为青(蓝）色宝物，而青色属虚空的光色，清净莹澈，象征精神与智慧的澄明了悟之意,所以琉璃光又喻为佛德之光。也许受到佛教思想的影响，在《西游记》中，作者吴承恩就安排原是天庭的卷帘大将沙僧，因失手打破了一只蓝琉璃而被贬下凡间，蛰居在流沙河，以吃人为业，但最后改随师父唐三藏赴西天取经去了。
在传统的色彩观中，琉璃蓝亦代表上天的颜色，至今最有名的琉璃蓝建筑物是位于北京市东城区的天坛，该古建筑始建于明永乐十八年，是明清两朝帝王祭天、祈谷和祈雨的坛场。以象征青天的蓝色琉璃瓦铺盖屋顶的天坛，也是现存古代规模最大、明清两朝政治权位等级最高的祭祀建筑群。</t>
    </r>
  </si>
  <si>
    <t>靛蓝</t>
  </si>
  <si>
    <r>
      <rPr>
        <sz val="11"/>
        <color theme="1"/>
        <rFont val="方正粗黑宋简体"/>
        <charset val="134"/>
      </rPr>
      <t>靛蓝即浓蓝色，俗称“天青”，为我国历史最悠久及最深入民间的平民百姓通用服色中的人造色素。经由蓝靛（或称青靛）漂染成的朴实蓝土布及传统蓝印花布上的颜色在古时称“绀青”，英文定名为“中国蓝”( ChinaBlue )。
青靛是传统的植物染剂,提炼自蓝(兰)草、蓼蓝、山蓝等草类的叶子或根茎，在我国已有3000多年的采用历史。古书《夏小正》中有“五月启灌蓼蓝”一句，说明先民早已懂得人工种植蓝草。《诗经·小雅·采绿》也写有“终朝采蓝,不盈—</t>
    </r>
    <r>
      <rPr>
        <sz val="11"/>
        <color theme="1"/>
        <rFont val="宋体"/>
        <charset val="134"/>
      </rPr>
      <t>襜</t>
    </r>
    <r>
      <rPr>
        <sz val="11"/>
        <color theme="1"/>
        <rFont val="方正粗黑宋简体"/>
        <charset val="134"/>
      </rPr>
      <t>。五日为期，六日不詹”，生动描述采蓝草的姑娘因为心上人逾期未归，心不在焉地采摘了一整天竟然装不满一衣兜（</t>
    </r>
    <r>
      <rPr>
        <sz val="11"/>
        <color theme="1"/>
        <rFont val="宋体"/>
        <charset val="134"/>
      </rPr>
      <t>襜</t>
    </r>
    <r>
      <rPr>
        <sz val="11"/>
        <color theme="1"/>
        <rFont val="方正粗黑宋简体"/>
        <charset val="134"/>
      </rPr>
      <t xml:space="preserve">，指衣服的前幅或蔽膝)。而山蓝（别称马蓝、琉球蓝)的根部还可入药，即中药中的板蓝根，主治感冒及喉咙肿痛等病症。
《荀子·劝学》中有“青(色），取之于蓝(草),而青于蓝”，说明了色泽深蓝色的来源。据清代光绪年间《通州志》记载:“种蓝成畦，五月刈曰头蓝，七月再刈曰二蓝，甓（用砖砌)一池水，汲水浸之入石灰，搅千下，库去水，即成靛。用于染布，曰小缸青。”头蓝为深蓝色;二蓝色较淡，接近天蓝色。即蓝染的深浅色度会因收割不同月份的蓝草而有差别。
蓝草在周代已成为民生用的经济型植物，《周礼》曰“地官管染草”，即是说当时朝廷已设有专属部门以种植及管理染草园地;另又开办染坊，由职称“染人”的技师负责织品色染工作。而周朝在制定礼仪及衣冠等级时，把青靛染制的靛蓝色布料定为庶民的服色。浓蓝色自此走入寻常百姓家，成为中国数千年来最普及和著名的代表色之一。
随着漂染技术而生的是印染技艺，古代称缬。传统的印染技艺共分夹缬、蜡缬、绞缬及灰缬四种，即今天所说的夹染、蜡染、绞染和蓝印花布。夹缬据文献最早可追溯到秦汉时期;古文里的缬字，原专指在丝织品上染制的花样图案。到了元代，传自印度的棉花种植开始普及，棉纺织品逐渐代替丝织品，但由于棉织品的吸水率远超过丝织品，彩色印染原料成本激增，于是被迫改向单色发展，并选择染色附着力强的染料。最后普遍种植的青靛草类成为首选，而蓝染白花的蓝夹缬（又称灰缬）棉织印花布遂风行天下，并流传至今。
</t>
    </r>
    <r>
      <rPr>
        <sz val="11"/>
        <color theme="0" tint="-0.499984740745262"/>
        <rFont val="方正粗黑宋简体"/>
        <charset val="134"/>
      </rPr>
      <t>靛蓝：由植物(例如靛蓝或菘蓝属植物)得到的蓝色染料</t>
    </r>
  </si>
  <si>
    <t>蓝采和</t>
  </si>
  <si>
    <t>神仙色。其名自八仙,其色有奇幻。沈汾《续仙传》曰“蓝采和,不知何许人也。常衣破蓝衫……夏则衫内加絮,冬则卧于雪中,气出 如蒸。每行歌于城市乞索，持大拍板,长三尺余，带醉踏歌。老少皆随看之”。蓝采和《踏歌》诗“踏歌踏歌蓝采和,世界能几何。红颜三春树，流年一掷梭”。</t>
  </si>
  <si>
    <t>苍蓝</t>
  </si>
  <si>
    <t>绀宇</t>
  </si>
  <si>
    <t>绀是青与赤的间色,也是很重要的基本传统色。许慎《说文解字·系部》曰“绀,帛深青而扬赤色也”。古时殿宇和寺庙多用绀色,取其庄严凝重之意。</t>
  </si>
  <si>
    <t>佛头青</t>
  </si>
  <si>
    <t>同样是绀色系,所以也叫绀琉璃，绀色系是佛寺、佛像的重要色彩。青而含赤之色，又作绀琉璃,为佛陀毛发及佛国土之色相。</t>
  </si>
  <si>
    <t>绀青</t>
  </si>
  <si>
    <t>绀青绀紫：纯度较低的深紫色</t>
  </si>
  <si>
    <t>灰蓝</t>
  </si>
  <si>
    <t>帝释青</t>
  </si>
  <si>
    <t>出自佛家,青之胜者,隐隐有正法护持。亦称帝青、鹘青。玄应《一切经音义》曰“帝青,梵言因陀罗尼罗目多，是帝释宝,亦作青色,以其最胜,故称帝释青”。因陀罗尼罗的字面原意是“帝释天神之靛蓝宝石”。帝释天，音译简称因陀罗，意译是能天帝，本为印度教神明，司职雷电与战斗,后进入佛教为护法神。佛经上说，释迦牟尼下生时，因陀罗在释迦牟尼的左前方,手执宝盖，和右前方的大梵天，一起侍候着释迦牟尼。释迦牟尼成道后佛教产生，因陀罗成为主要的守护神，被称为帝释天。帝释青是靛青色。它进入古汉语的体系后，简化为帝青，帝青是蔚蓝色，比本源的帝释青要浅。</t>
  </si>
  <si>
    <t>属中国画颜料的水色系，与矿物色石青不同,花青是植物色。亦称靛花，中国画传统颤料色。植物颜料，取之于蓝,而胜于蓝。李时珍《本草纲目》载“南人掘地作坑,以蓝浸水一宿,入石灰搅至千下,澄去水,则青黑色。亦可干收,用染青碧。其搅起浮沫,掠出阴干，谓之靛花”。</t>
  </si>
  <si>
    <r>
      <rPr>
        <sz val="11"/>
        <color theme="1"/>
        <rFont val="方正粗黑宋简体"/>
        <charset val="134"/>
      </rPr>
      <t>骐</t>
    </r>
    <r>
      <rPr>
        <sz val="11"/>
        <color theme="1"/>
        <rFont val="宋体"/>
        <charset val="134"/>
      </rPr>
      <t>驎</t>
    </r>
  </si>
  <si>
    <r>
      <rPr>
        <sz val="11"/>
        <color theme="1"/>
        <rFont val="方正粗黑宋简体"/>
        <charset val="134"/>
      </rPr>
      <t>通麒麟,以麒麟指良驹,其色青骊,其意千里。骐</t>
    </r>
    <r>
      <rPr>
        <sz val="11"/>
        <color theme="1"/>
        <rFont val="宋体"/>
        <charset val="134"/>
      </rPr>
      <t>驎</t>
    </r>
    <r>
      <rPr>
        <sz val="11"/>
        <color theme="1"/>
        <rFont val="方正粗黑宋简体"/>
        <charset val="134"/>
      </rPr>
      <t>在人间是良马，用一句李商隐的才子诗,“骐</t>
    </r>
    <r>
      <rPr>
        <sz val="11"/>
        <color theme="1"/>
        <rFont val="宋体"/>
        <charset val="134"/>
      </rPr>
      <t>驎</t>
    </r>
    <r>
      <rPr>
        <sz val="11"/>
        <color theme="1"/>
        <rFont val="方正粗黑宋简体"/>
        <charset val="134"/>
      </rPr>
      <t>踏云天马狞，牛山撼碎珊瑚声”</t>
    </r>
  </si>
  <si>
    <t>鸽蓝</t>
  </si>
  <si>
    <t>深灰蓝</t>
  </si>
  <si>
    <t>钢青</t>
  </si>
  <si>
    <t>綦</t>
  </si>
  <si>
    <t>青黑色。为古代未嫁女子所穿服色。《诗经》中有“缟衣綦巾，聊乐我员”。</t>
  </si>
  <si>
    <t>暗蓝</t>
  </si>
  <si>
    <t>燕颔蓝</t>
  </si>
  <si>
    <t>钢蓝</t>
  </si>
  <si>
    <t>Y</t>
  </si>
  <si>
    <t>草珠红</t>
  </si>
  <si>
    <t>盈盈</t>
  </si>
  <si>
    <t>一片桃花映水,辛弃疾说姑娘“笑语盈盈暗香去”,也是上元节会情郎的桃花运使然。其色若桃花映水,皎容顾盼。</t>
  </si>
  <si>
    <t>水红</t>
  </si>
  <si>
    <t>退红</t>
  </si>
  <si>
    <t>亦作褪红。方以智《通雅·衣服·彩色》日“(退红)与褪同为浅红也,半新半旧曰褪”。说起这个退字,不由想起“舞榭歌台,风流总被雨打风吹去”,柔和的姿态是风雨过后的平静。</t>
  </si>
  <si>
    <t>藕色</t>
  </si>
  <si>
    <t>藕色：浅灰而略带红的颜色</t>
  </si>
  <si>
    <t>石蕊红</t>
  </si>
  <si>
    <t>淡桃红</t>
  </si>
  <si>
    <t>淡绯</t>
  </si>
  <si>
    <t>银红</t>
  </si>
  <si>
    <t>240,86,84</t>
  </si>
  <si>
    <r>
      <rPr>
        <sz val="11"/>
        <color theme="1"/>
        <rFont val="方正粗黑宋简体"/>
        <charset val="134"/>
      </rPr>
      <t>似有银光的红中泛白之色。宋应星《天工开物》载“莲红、桃红色、银红、水红色。以上质亦红花饼一味,浅深分两加减而成。是四色皆非黄茧丝所可为,必用白丝方现”。银是形容色值亮的传统色说法。银红之所以带银字，或许与出炉银有关。《扬州画舫录》说:“浅红白色曰出炉银。”清代文臣汪灏的《御定佩文斋广群芳谱》说:“出炉银,一名银红西施，一名粉芙蓉,花宝色,瓣厚大。初微红,后苍白，如银出炉，终始可爱。”说的是浅红牡丹花色,却把微红泛白的出炉银色描绘出来了,与银红有通感。</t>
    </r>
    <r>
      <rPr>
        <sz val="11"/>
        <color theme="0" tint="-0.349986266670736"/>
        <rFont val="方正粗黑宋简体"/>
        <charset val="134"/>
      </rPr>
      <t>银红：银朱和粉红色颜料配成的颜色。多用来形容有光泽的各种
红色，尤指有光泽浅红。</t>
    </r>
  </si>
  <si>
    <t>粉米</t>
  </si>
  <si>
    <t>有关十二章纹的各种考证,粉色梗米是一说,十二章纹是帝王把江山社稷都揽于一身;不去考虑十二章纹,这种粮食是确实存在的。出自十二章纹之色、今之一说很亦可信——粉米非白米,而是粉红色粳米。《尚书·益稷》日“子欲观古人之象,日、月、星辰、山、龙、华、虫,作会宗彝。藻、火、粉、米、黼、黻絺绣”。</t>
  </si>
  <si>
    <t>桃夭</t>
  </si>
  <si>
    <t>桃之夭夭，跑掉的不是缘分,跑不掉的是适宜娶回家的人，这个颜色适用于宜室宜家的婚庆场景。</t>
  </si>
  <si>
    <t>洋水仙红</t>
  </si>
  <si>
    <t>樱花</t>
  </si>
  <si>
    <t>樱花,原产子喜马拉雅南脉,盛唐时期,从宫苑廊庑到民舍私园都有种植。如果知道盛唐时樱花亦是处处盛开,是不是更想回到长安,看樱花树下贵妃醉酒?</t>
  </si>
  <si>
    <t>姜红</t>
  </si>
  <si>
    <t>粉红</t>
  </si>
  <si>
    <t>红，即浅红色。别称：妃色、杨妃色、湘妃色、妃红色。</t>
  </si>
  <si>
    <t>花映水红,颜色的具象和雨水的节气完美搭配,水为财、红为发。</t>
  </si>
  <si>
    <t>鼠鼻红</t>
  </si>
  <si>
    <t>无花果红</t>
  </si>
  <si>
    <t>晶红</t>
  </si>
  <si>
    <t>夕岚</t>
  </si>
  <si>
    <t>落日山间雾气的颜色。其色夕阳暮霭,其意望峰息心。</t>
  </si>
  <si>
    <t>芍药耕红</t>
  </si>
  <si>
    <t>桃红</t>
  </si>
  <si>
    <t>粉红色，为桃花的颜色。宋人黄元道《赠邓珪》云:“柳绿桃红春昼永，家童唤起睡中忙。”桃红色明艳动人，也常用于形容女子容貌姣好。</t>
  </si>
  <si>
    <t>豇豆红</t>
  </si>
  <si>
    <t>合欢红</t>
  </si>
  <si>
    <t>颊红</t>
  </si>
  <si>
    <t>粉团花红</t>
  </si>
  <si>
    <t>牡丹粉红</t>
  </si>
  <si>
    <t>彤管</t>
  </si>
  <si>
    <t>语出《诗经·邶风·静女》“静女其娈,贻我彤管, 彤管有炜,说怿女美”。考据彤管其说纷纭,比较可信的说法是“管”即“兰”，“彤管”即“红色的兰草”,此色可谓爱情信物的颜色。也有说“彤管”即“女史的红笔”或“画笔”,故有唐寅《牡丹图》咏“谷雨花枝号鼠姑,戏拈彤管画成图”。《诗经》里那位静雅的姑娘到底送了我什么?我只知道那抹颜色已经成了我心头的印记。</t>
  </si>
  <si>
    <t>咸池</t>
  </si>
  <si>
    <t>上古传说,浴日之所,日浴之色。太阳入浴或仙女入浴之处的颜色意象,推演成命理的四大桃花——所谓红鸾、红艳、咸池与天喜——之一。</t>
  </si>
  <si>
    <t>莲红</t>
  </si>
  <si>
    <t>出自莲花之红色。茧丝有黄白之分，宋应星特别嘱咐，染莲花、桃红、银红、水红这些娇嫩的颜色时应选用白丝，切不可选用黄茧丝。宋应星《天工开物》载“莲红、桃红色、银红、水红色。以上质亦红花饼一味,浅深分两加减而成。是四色皆非黄茧丝所可为,必用白丝方现”。</t>
  </si>
  <si>
    <t>杨妃</t>
  </si>
  <si>
    <t>妃色附着于杨贵妃，更加惟恻缠绵,更难得的是，一种颜色的来历有矿石的刚、牡丹的贵、锦裙的柔，还有瓷的雅。源自由粉帘石制成的矿物色。</t>
  </si>
  <si>
    <t>春梅红</t>
  </si>
  <si>
    <t>红梅色</t>
  </si>
  <si>
    <r>
      <rPr>
        <sz val="11"/>
        <color theme="1"/>
        <rFont val="方正粗黑宋简体"/>
        <charset val="134"/>
      </rPr>
      <t>红梅色是指梅花的花色，呈红粉色泽，在我国传统色彩观中，红梅色代表冷艳，色感性格来自被喻为无惧风霜的梅花。红梅在古代是象征情爱的色彩（汤显祖《牡丹亭》）。传说梅花花神宋朝寿阳公主也有一段与粉红色的美容术“梅花妆”有关的美艳记载:“宋武帝女寿阳公主人日（即正月初七)卧于含章殿檐下，梅花落公主额上，成五出花，拂之不去。皇后留之，看得几时。经三日，洗之乃落。宫女奇其异，竟效之,今梅花妆是也。"(《太平御览·时序部十五·人日》)而宋代妇女，确有以粉红色的梅花印额以示妩媚的流行化妆术。
在传统文化里，古人喜将梅的花品比喻为人的气质;而红梅色在热情奔放的红色系列中却独树一格，被单独挑出，成为高傲、冷艳、孤寒的代表色。</t>
    </r>
    <r>
      <rPr>
        <sz val="11"/>
        <color theme="9" tint="-0.499984740745262"/>
        <rFont val="方正粗黑宋简体"/>
        <charset val="134"/>
      </rPr>
      <t>粉红色，梅花是一年中最先盛开的花卉，故有报春的吉祥寓意,宋人晁补之有“雪里红梅,因甚早知消息”。</t>
    </r>
  </si>
  <si>
    <t>淡罂粟红</t>
  </si>
  <si>
    <t>报春红</t>
  </si>
  <si>
    <t>舌红</t>
  </si>
  <si>
    <t>菡萏</t>
  </si>
  <si>
    <t>菡萏是将熟的荷花花苞,将开未开时的粉红色。 东汉辞赋家王延寿作《鲁灵光股赋》，其中:“发秀吐荣、菡萏披敷。绿房紫菂, 窋咤垂珠。”荷花花苞开始绽放,吐蕊舒瓣，绿色的莲房、紫色的莲子、穴中含珠，摇摇欲坠。东汉学者张揖在《广雅》里注释说:“(莲花）其华未发为菡萏,已发为芙蕖。”</t>
  </si>
  <si>
    <t>霞光红</t>
  </si>
  <si>
    <t>榴子红</t>
  </si>
  <si>
    <t>龙膏烛</t>
  </si>
  <si>
    <t>烟色丹紫,其色出自龙青烛火,其意施光明于日光不及之幽暗。王嘉《拾遭记·方丈山》云“王坐通云之台,亦曰通霞台,以龙膏为灯,光耀百里,烟色丹紫”。</t>
  </si>
  <si>
    <t>雌霓</t>
  </si>
  <si>
    <t>又曰副虹，色彩不若主虹鲜明。这是彩虹中暗影一边的颜色,更妩媚。</t>
  </si>
  <si>
    <t>桃色</t>
  </si>
  <si>
    <t>桃色指桃花的颜色，为粉红色。因桃花色彩妖冶娇媚，自古以来,文人多以桃红比喻美人的姣美姿容:“鲜肤胜粉白，慢脸若桃红。”（南朝梁刘遵《繁华应令》)可见桃红色在传统文化与色彩观中属于动人的艳色。
桃色在我国自古又多用来比喻爱情的色彩，每当桃花吐妍，像一片拨天的烈火时，也是恋爱与论婚嫁的季节。《诗经·周南·桃天》即描述道:“桃之天天，灼灼其华。之子于归，宜其室家。”在我国诗歌史上《桃夭》是第一次把女子比喻为鲜花，灼灼是形容桃花色红如火,诗中也写到姑娘忙着办喜事的情景。唐贞元年间进士崔护的名诗:“去年今日此门中，人面桃花相映红。人面不知何处去，桃花依旧笑春风。”(《题都城南庄》）写的是诗人重游旧地时，因眼前的景色依旧却人事已非而感到惆怅与失落。后人遂把男女间的情事称作桃花运，现代人将异性间关系纠缠不清的关系叫做桃色新闻。花期短暂的桃花，又被喻为薄命红颜。明末清初文学家李渔曾说过:“色之极媚者莫过于桃，而寿之极短者亦莫过于桃。红颜薄命之说，单为此种。”但对东晋陶渊明来说，映山红漫飘摇的桃色却有着如梦境般浪漫的色彩，桃花源既是理想的人间仙境也是世外桃源。
桃色在汉族传统的服色上亦另有含义。明代开国皇帝因姓朱，遂以朱红色为正色，其是帝王的尊用色;一般平民女性只能穿桃红、紫、绿等间色的衣服。间色是指五正色之间的混合色。在传统封建的大家庭中，妻妾众多，在节庆大典及正式盛会中，只有正室才容许穿着正红裙，侧室只能穿桃色或其他间色的衣服，以分别身份地位的尊卑。</t>
  </si>
  <si>
    <t>淡绛红</t>
  </si>
  <si>
    <t>淡茜红</t>
  </si>
  <si>
    <t>桃红，桃花的颜色，比粉红略鲜润的颜色。</t>
  </si>
  <si>
    <t>凤仙花红</t>
  </si>
  <si>
    <t>縓</t>
  </si>
  <si>
    <t>浅红色。《尔雅》有“—染谓之源”，用茜草类植物染一次可得此色。</t>
  </si>
  <si>
    <t>香叶红</t>
  </si>
  <si>
    <t>白芨红</t>
  </si>
  <si>
    <t>嫣红</t>
  </si>
  <si>
    <t>嫣红：鲜艳的红色。</t>
  </si>
  <si>
    <t>菱锰红</t>
  </si>
  <si>
    <r>
      <rPr>
        <sz val="11"/>
        <color theme="1"/>
        <rFont val="宋体"/>
        <charset val="134"/>
      </rPr>
      <t>縓</t>
    </r>
    <r>
      <rPr>
        <sz val="11"/>
        <color theme="1"/>
        <rFont val="方正粗黑宋简体"/>
        <charset val="134"/>
      </rPr>
      <t>缘</t>
    </r>
  </si>
  <si>
    <r>
      <rPr>
        <sz val="11"/>
        <color theme="1"/>
        <rFont val="方正粗黑宋简体"/>
        <charset val="134"/>
      </rPr>
      <t>指边缘浅红色。《尔雅》日“一染谓之縓”。像茜草这种赤色染材,浸入其中过一次出来的浅红色就是“</t>
    </r>
    <r>
      <rPr>
        <sz val="11"/>
        <color theme="1"/>
        <rFont val="宋体"/>
        <charset val="134"/>
      </rPr>
      <t>縓</t>
    </r>
    <r>
      <rPr>
        <sz val="11"/>
        <color theme="1"/>
        <rFont val="方正粗黑宋简体"/>
        <charset val="134"/>
      </rPr>
      <t>，过两次出来的颜色是</t>
    </r>
    <r>
      <rPr>
        <sz val="11"/>
        <color theme="1"/>
        <rFont val="宋体"/>
        <charset val="134"/>
      </rPr>
      <t>赪</t>
    </r>
    <r>
      <rPr>
        <sz val="11"/>
        <color theme="1"/>
        <rFont val="方正粗黑宋简体"/>
        <charset val="134"/>
      </rPr>
      <t>,过三次出来的是</t>
    </r>
    <r>
      <rPr>
        <sz val="11"/>
        <color theme="1"/>
        <rFont val="宋体"/>
        <charset val="134"/>
      </rPr>
      <t>纁</t>
    </r>
    <r>
      <rPr>
        <sz val="11"/>
        <color theme="1"/>
        <rFont val="方正粗黑宋简体"/>
        <charset val="134"/>
      </rPr>
      <t>。</t>
    </r>
  </si>
  <si>
    <t>苏梅</t>
  </si>
  <si>
    <t>东坡心中的梅花色,他亲自解读为“小红桃杏色”,美人微醉，诗兴大发,良辰美景。语出苏就《定风波·咏红梅》“偶作小红桃杏色,闲雅,尚余孤瘦雪霜姿”。苏轼笔下红梅之小红桃杏色,即苏梅的颜色。</t>
  </si>
  <si>
    <t>初荷红</t>
  </si>
  <si>
    <t>黪紫</t>
  </si>
  <si>
    <t>黪的本义是浅青黑色, 黪紫的色值在浅紫区间。方以智《通雅·衣服·彩色》云“黪紫,浅紫也;北紫,今之正紫也;油紫,今之藕合也;重紫,今之青莲色也;真紫,则累赤而殷者”，又“则天施黪紫帐,即浅紫。油紫,今之深藕合色,重紫则近今之青莲色,皆以月白或蓝为初染地,而加以红花成之。今又有真紫色，则久久加大红,其色自紫。恶其夺朱者,正谓浅紫色艳耳”。武则天施黪紫帐这一传统源自东汉马融,绛纱设帐,授徒传道。</t>
  </si>
  <si>
    <t>谷鞘红</t>
  </si>
  <si>
    <t>长春</t>
  </si>
  <si>
    <t>青春长驻之色，宋朝人在诗歌里轮番咏颂这个颜色,要知道宋代是中国美学的高峰。其色源自花名,其意青春盎然。宋人尤爱长春花,在录都是宋人赞色溢美之词。</t>
  </si>
  <si>
    <t>山黎豆红</t>
  </si>
  <si>
    <t>兔眼红</t>
  </si>
  <si>
    <t>渥赭</t>
  </si>
  <si>
    <t>语出《诗经·邶风·简兮》“赫如渥赭,公言锡爵”。《诗经》里有位红光满面的汉子，还说这个人的颜值高、身体壮，这是荷尔蒙的颜色。</t>
  </si>
  <si>
    <t>扁豆花红</t>
  </si>
  <si>
    <t>紫梅</t>
  </si>
  <si>
    <t>一剪寒梅，再度春风,“东园紫梅初破蕊，北涧禄水方通流”。</t>
  </si>
  <si>
    <t>酢酱草红</t>
  </si>
  <si>
    <t>莲瓣红</t>
  </si>
  <si>
    <t>夹竹桃红</t>
  </si>
  <si>
    <t>吊钟花红</t>
  </si>
  <si>
    <t>龙须红</t>
  </si>
  <si>
    <t>丹紫红</t>
  </si>
  <si>
    <t>山茶红</t>
  </si>
  <si>
    <t>艳红</t>
  </si>
  <si>
    <t>电气石红</t>
  </si>
  <si>
    <r>
      <rPr>
        <sz val="11"/>
        <color theme="1"/>
        <rFont val="方正粗黑宋简体"/>
        <charset val="134"/>
      </rPr>
      <t>琅</t>
    </r>
    <r>
      <rPr>
        <sz val="11"/>
        <color theme="1"/>
        <rFont val="宋体"/>
        <charset val="134"/>
      </rPr>
      <t>玕</t>
    </r>
    <r>
      <rPr>
        <sz val="11"/>
        <color theme="1"/>
        <rFont val="方正粗黑宋简体"/>
        <charset val="134"/>
      </rPr>
      <t>紫</t>
    </r>
  </si>
  <si>
    <t>语出李贺《夜饮朝眠曲》此诗描述夜夜笙歌、通宵宴饮的奢靡生活、公主醉酒后面如红玉。鬼才李贺笔下的颜色永远是不可思议却又挥之不去的，这是公主面上的醉意酒色，谁说过最好的生活是醉生梦死。</t>
  </si>
  <si>
    <t>胭脂水</t>
  </si>
  <si>
    <t xml:space="preserve">梳妆的胭脂水,可以飞上枝头作杏花，可以飞上瓷胎作釉色。寂园叟《陶雅》云“胭脂水为康熙以前所未有，釉薄于蛋膜者十分之一,匀净明艳,殆无论比。”许之衡《饮流斋说瓷》云“胭脂水一色发明于雍正,而乾隆继之,以其釉色酷似胭脂水因以得名也。始制者胎极薄，其里釉极白，因为外釉所照,故发粉红色。乾隆所制则胎质渐厚,色略发紫,其里釉尤白，于灯草边处如白玉一道焉”清代官窑设于江西景德镇，康熙帝派郎廷极到景德镇御窑厂督窑，郎廷极不负皇恩，终于在康熙晚期创造出红釉新天地:他创制出新品红釉，就是著名的郎窑红;还创制出立豇红,又称美人醉;他还恢复了明代宣德年间的霁红，霁红历经康、雍、乾三代而发扬光大。 颜色釉，在釉中加上某种氧化金属、焙烧后,就会显现某种固有色泽,郎窑红、豇豆红、霁红都是釉中加铜而发色成的。胭脂水不一样，它的红色是釉中加上金而发色成的，由于釉里含金，也被称为金红。这种釉里含金的工艺是康熙中期由荷兰传入景德镇的，到了雍正、乾隆年间才成为当时的红釉瓷器代表作、雍正的胭脂水最好,偏粉红色，所谓“红若赤霞，赧如羞女”，乾隆的胭脂水稍逊,偏紫红色,此后每况愈下,颜色愈发晦暗。 颜色釉的烧制温度,以1250摄氏度为界:以上为高温釉，郎窑红、豇豆红、霁红都属此类;以下为低温釉，胭脂水属此类。盖因其中添加的发色金属成分不同所致。  </t>
  </si>
  <si>
    <t>淡蕊香红</t>
  </si>
  <si>
    <t>嫩菱红</t>
  </si>
  <si>
    <t>石竹红</t>
  </si>
  <si>
    <t>松叶牡丹红</t>
  </si>
  <si>
    <t>洋红</t>
  </si>
  <si>
    <t>洋红：色橘红。</t>
  </si>
  <si>
    <t>品红</t>
  </si>
  <si>
    <t>紫荆红</t>
  </si>
  <si>
    <t>桂红</t>
  </si>
  <si>
    <t>草茉莉红</t>
  </si>
  <si>
    <t>藏花红</t>
  </si>
  <si>
    <t>月季红</t>
  </si>
  <si>
    <t>曲红</t>
  </si>
  <si>
    <t>苹果红</t>
  </si>
  <si>
    <t>美人祭</t>
  </si>
  <si>
    <t>釉色如佳人,而且是稀世佳人,以稀为贵。亦作美人霁、美人齐。许之衡《饮流斋说瓷》云“美人祭，又曰美人齐,祭红之淡粉色者也。酉人又呼为桃花色。此种市伙不解其名,或呼为淡豇红,或呼为淡祭红。孰者美人祭名称之，娇艳也耶,余若娃娃脸、杨妃色、桃花片、桃花浪诸名均属于此类。稍深稍浅吹万不同,而歧名异名因之遂伙。一言以蔽之,则祭红之淡粉色而不发绿班者即此类也”。邵蛰民、余戟门《增补古今瓷器源流考》云“美人霁,佳处在于淡红中显鲜红色与茶褐色之点，背光则显绿色”。</t>
  </si>
  <si>
    <t>榲桲红</t>
  </si>
  <si>
    <t>絑</t>
  </si>
  <si>
    <t>大红色。《说文解字》说:“洙，纯赤也。”郑玄注《礼》曰“凡染绛一入谓之源……朱（絑）则四入与”，即用茜草类植物染四次可得絑。</t>
  </si>
  <si>
    <t>玫瑰红</t>
  </si>
  <si>
    <t>花色惹艳狂野，如情欲般澎湃奔放的红玫瑰，在西方，远自古希腊时期已被视为爱情的化身和浪漫感情的信使;而在传统中国也有“花有情深只有红”的比喻和爱情色彩观。在文人雅士笔下，红如胭脂的玫瑰则象征极为风流但品格自高的花色。
玫瑰别称“刺玫花”“徘徊花”，古时民间又称“离娘草”。玫瑰与蔷薇、月季是同属蔷薇科( Rosaceae )蔷薇属( Rosa )的姊妹花，因它们的花形十分相似，常令人混淆。其中的玫瑰干茎带刺，花形较小，花朵颜色单一，且花期短;蔷薇花则是蔷薇科的原种花卉，花枝较柔软，能攀墙附篱，花多而簇生;月季是由玫瑰与蔷薇反复杂交而成。这三种艳花在宋朝诗人杨万里的《红玫瑰》中早已细说分明:“非关月季姓名同，不与蔷薇谱牒通。接叶连枝干万绿，一花两色浅深红。”诗中的“牒”即谱籍。在我国作为庭园观赏花的玫瑰，其人工栽培的历史最迟大概始于西汉（前206—公元8世纪)时期。玫瑰花色在古时也被喻为酥色、艳色。文人又从花卉的颜色互相对比，认为玫瑰可与桃、李媲美，共同成为艳丽的三色，而且玫瑰的香气属芬芳花香中的第一香，清代《本草正义》就评鉴为:“(玫瑰)花香最浓，清而不浊，和而不猛。”</t>
  </si>
  <si>
    <t>莓红</t>
  </si>
  <si>
    <t>菠根红</t>
  </si>
  <si>
    <t>火红</t>
  </si>
  <si>
    <t>火红：火焰的红色，赤色。</t>
  </si>
  <si>
    <t>彤</t>
  </si>
  <si>
    <r>
      <rPr>
        <sz val="11"/>
        <color theme="1"/>
        <rFont val="方正粗黑宋简体"/>
        <charset val="134"/>
      </rPr>
      <t>朱红色。《说文解字》：“彤，丹饰也。”常见有“彤日”、“彤云”、“彤庭”之语。唐人宋之问有诗：“北阙彤云掩曙霞，东风吹雪舞山家。”</t>
    </r>
    <r>
      <rPr>
        <sz val="11"/>
        <color theme="0" tint="-0.499984740745262"/>
        <rFont val="方正粗黑宋简体"/>
        <charset val="134"/>
      </rPr>
      <t>彤：赤色。</t>
    </r>
  </si>
  <si>
    <t>喜蛋红</t>
  </si>
  <si>
    <t>淡菽红</t>
  </si>
  <si>
    <t>妃色</t>
  </si>
  <si>
    <t>妃红色：古同“绯”，粉红色。杨妃色、湘妃色、粉红皆同义。</t>
  </si>
  <si>
    <t>茶花红</t>
  </si>
  <si>
    <t>海棠红</t>
  </si>
  <si>
    <t>海棠花之色。宋人王仲修有诗云:“欲晓初闻长乐钟，一庭残月海棠红。”也是钧瓷的一种釉色。</t>
  </si>
  <si>
    <t>珊瑚红</t>
  </si>
  <si>
    <t>唇脂</t>
  </si>
  <si>
    <t>刘熙《释名·释首饰》曰“唇脂,以丹作之,象唇赤也”。红唇丹脂，何其美艳，一不小心印在哪里就不容易在心里擦掉了。</t>
  </si>
  <si>
    <t>陶瓷红</t>
  </si>
  <si>
    <t>朱红</t>
  </si>
  <si>
    <t>255,76,0</t>
  </si>
  <si>
    <t>朱红：朱砂的颜色，比大红活泼，也称铅朱、朱色、丹色。</t>
  </si>
  <si>
    <t>胭脂紫</t>
  </si>
  <si>
    <t>胭脂红釉的呈色有深浅之分,深者称“胭脂紫”,浅者称“胭脂水”。比胭脂水深一些的就是胭脂紫。</t>
  </si>
  <si>
    <t>大红</t>
  </si>
  <si>
    <t xml:space="preserve">255,33,33 </t>
  </si>
  <si>
    <t>大红：正红色，三原色中的红，传统的中国红，又称绛色。</t>
  </si>
  <si>
    <t>红踯躅</t>
  </si>
  <si>
    <t>即杜鹃花。最好的解释是人见人爱，花见花开，踯躅是不舍离去，这是春天里热烈爱慕的颜色。</t>
  </si>
  <si>
    <t>淡曙红</t>
  </si>
  <si>
    <t>玉红</t>
  </si>
  <si>
    <t>鱼鳃红</t>
  </si>
  <si>
    <t>火砖红</t>
  </si>
  <si>
    <t>柿红</t>
  </si>
  <si>
    <t>满江红</t>
  </si>
  <si>
    <t>红汞红</t>
  </si>
  <si>
    <t>枸枢红</t>
  </si>
  <si>
    <t>胭脂红</t>
  </si>
  <si>
    <t xml:space="preserve">157,41,51 </t>
  </si>
  <si>
    <r>
      <rPr>
        <sz val="11"/>
        <color theme="1"/>
        <rFont val="方正粗黑宋简体"/>
        <charset val="134"/>
      </rPr>
      <t>以胭脂美颜的化妆术并非汉族人发明，一般认为是在汉代由生活在西北方的游牧民族匈奴人传入中原的。古籍中有关胭脂的名称有多种写法，如焉支、胭脂、支、燕脂等，均属匈奴语的音译。晋代崔豹《古今注》中有“燕支……出西方”。地理志《西河旧事》(佚名)中亦有记述:“焉支出山丹”，又说“焉支山，东西百余里，西北二十里,亦有松柏巨木，其水草美茂,宜畜牧”。焉支山位于今天甘肃省山丹县与永昌县交界。古代胭脂的材料主要来自于红花(又称红蓝花)、茜草或紫梗等植物，制作方法是将花朵捶捣淬炼成汁液再凝制成暗红色的涂料，匈奴的妇女将其用作涂抹于面颊和嘴唇的美容颜料。西汉名将霍去病曾先后两次挥军打败匈奴，攻克祁连山，并越过焉支山千余里，让汉朝完全控制了河西地区。被驱赶的匈奴人在哭诉丧失家园与土地的歌谣中唱道:“亡我祁连山，使我六畜不繁息。失我焉支山，使我妇女无颜色。”胭脂大概自汉代从西北部传入中原，成了汉族妇女抹面弄妆增添娇艳的物品，尔后胭脂再远传到东瀛。而加入牛骨髓、猪胰等动物脂肪以增加稠密、光滑及持久度的胭脂膏，则让爱美的女士脸庞更加滋润、细致又光亮。由此，“燕支”遂成了“燕脂”或“胭脂”，并使“脂”字更具意义。胭脂的红色元素也是古代绘画着色的用料，但以胭脂作画，年代一久，则有花退残红的走色现象,故现代国画家多以洋红( carmine )取而代之。</t>
    </r>
    <r>
      <rPr>
        <sz val="11"/>
        <color theme="9" tint="-0.499984740745262"/>
        <rFont val="方正粗黑宋简体"/>
        <charset val="134"/>
      </rPr>
      <t>艳红色，由红花制成的颜料。胭脂是古代女子常用的化妆品，抹面可增添淡淡红晕。宋代阎伯敏有诗句:“舟人上下神女供，俗妆铅粉胭脂红。”</t>
    </r>
    <r>
      <rPr>
        <sz val="11"/>
        <color theme="0" tint="-0.499984740745262"/>
        <rFont val="方正粗黑宋简体"/>
        <charset val="134"/>
      </rPr>
      <t>胭脂：1，女子装扮时用的胭脂的颜色。 2，国画暗红色颜料 。</t>
    </r>
  </si>
  <si>
    <t>蜻蜓红</t>
  </si>
  <si>
    <t>榴花红</t>
  </si>
  <si>
    <t>为石榴花之色,也称石榴红。色泽明艳夺目，元人白朴有诗“映日榴花红似”。石榴花可漂染衣物,最常见的就是石榴红裙。</t>
  </si>
  <si>
    <t>萝卜红</t>
  </si>
  <si>
    <t>极光红</t>
  </si>
  <si>
    <t>朱槿色</t>
  </si>
  <si>
    <r>
      <rPr>
        <sz val="11"/>
        <color theme="1"/>
        <rFont val="方正粗黑宋简体"/>
        <charset val="134"/>
      </rPr>
      <t>朱槿色是指植物朱槿的花朵颜色，属亮丽的红色，在古时是用来比喻女子的美颜和胭脂的色彩。朱槿花的艳红色虽然迷人独特，但有朝开暮萎的特性，故古人在吟咏朱槿时，会寄托各种情思，或借喻人生无常及生命短促。
朱槿花又称赤槿、扶桑、大红花等，属锦葵科落叶灌木，为热带及亚热带植物，遍及亚洲各地，也是我国南方常见的庭园栽培的观赏花及种植于路旁的装饰性花卉。朱槿花又因有朝开夕合的个性，故古名称为“舜花”，最早见于《诗经》中:“有女同车，颜如舜华。”(《郑风·有女同车》)诗中的舜华即朱槿花。古代文人又会将艳丽的朱槿花色比喻为胭脂红，宋人杨万里《道旁槿篱》:“夹路疏篱锦作堆，朝开暮落复朝开。抽心粔籹轻拖糁，近蔕燕支酽抹腮。”诗文是说夹路而生的朱槿锦绣成堆，虽然繁花朝开暮落，但却周而复始。诗人接着正面描写朱槿花的鲜丽多姿，花形和花蕊如精美的糕点，花色红艳如女子脸上的胭脂色，抹腮是形容朱槿花红如女子涂抹脸庞的胭脂。在人工食物染色素出现前，我国古代也用捣碎的朱槿花汁液染色蜜饯和其他食物，或制成腌菜供食用。朱槿的茎皮纤维还可搓绳索、造粗布、织麻袋或制造纸张。</t>
    </r>
    <r>
      <rPr>
        <sz val="11"/>
        <color theme="9" tint="-0.499984740745262"/>
        <rFont val="方正粗黑宋简体"/>
        <charset val="134"/>
      </rPr>
      <t>鲜亮的红色，朱槿花之色。朱槿也称扶桑，有朝开暮萎的特性，令人惋惜。白居易有“万里携归尔知否，红蕉朱槿不将来”之句。</t>
    </r>
  </si>
  <si>
    <t>石榴红</t>
  </si>
  <si>
    <t>242，12，0</t>
  </si>
  <si>
    <r>
      <rPr>
        <sz val="11"/>
        <rFont val="方正粗黑宋简体"/>
        <charset val="134"/>
      </rPr>
      <t>石榴红即赤红,色相接近西方的洋红( carmine，胭脂红)。石榴别名丹若、若榴、安石榴、番石榴、金罂,原产波斯(今伊朗),据说是汉代张骞出使西域时，从安石国把石榴种子带回来的。当时称为涂林，即石榴的外语音译。
石榴花呈六瓣，花分橘红、黄、白三色，花期长，为5月当令花，其中以橘红色的石榴花最讨喜;白居易和韩愈分别以“火树风来翻绛焰，琼枝日出晒红纱”和“五月榴花照眼明”，来形容石榴花鲜艳惹眼的色彩。石榴花朵除可观赏外，也是历代衣饰的重要染料。唐代崇尚冶艳之美，服饰色彩缤纷绮丽，其中以石榴花漂染的女服红裙最流行。明朝文人蒋一葵的《燕京五月歌》中记述，当石榴花开的时候，干家万户争买石榴花为家中闺女漂染红裙;唐人万楚的诗句“红裙妒杀石榴花”，即点出当时红裙与花竞艳的风行景况。代表风情无限的石榴红色是中华流行久远的时髦颜色之一，直至清代曹雪芹的《红楼梦》中仍未褪色:袭人与香菱在藐郁园中偷换的是石榴红裙，贾宝玉看见香菱石榴裙拖在泥巴里，便说“可惜这石榴红绫最不经染”。而在俗语中说男人被女子的美貌所征服，称之为“拜倒在石榴裙下”，此说法一直沿用至今，依旧充满了感情味道。</t>
    </r>
    <r>
      <rPr>
        <sz val="11"/>
        <color theme="0" tint="-0.499984740745262"/>
        <rFont val="方正粗黑宋简体"/>
        <charset val="134"/>
      </rPr>
      <t>石榴红：石榴花的颜色，高色度和纯度的红色。</t>
    </r>
  </si>
  <si>
    <t>铁水红</t>
  </si>
  <si>
    <t>铁棕</t>
  </si>
  <si>
    <t>锦葵红</t>
  </si>
  <si>
    <r>
      <rPr>
        <sz val="11"/>
        <color theme="1"/>
        <rFont val="宋体"/>
        <charset val="134"/>
      </rPr>
      <t>鞓</t>
    </r>
    <r>
      <rPr>
        <sz val="11"/>
        <color theme="1"/>
        <rFont val="方正粗黑宋简体"/>
        <charset val="134"/>
      </rPr>
      <t>红</t>
    </r>
  </si>
  <si>
    <t>皮带红，宋代画里官员模样的人物腰间都有这么一抹红。鞓的本义是皇粮运送者专用的皮革腰带,它也是宋代官员用的红色腰带。欧阳修《洛阳牡丹记》载“鞓红者,单叶深红花,出青州,亦曰青州红。故张仆射齐贤有第西京贤相坊,自青州以橐驼驮其种,遂传洛中。其色类腰带鞓,故谓之鞓红”。</t>
  </si>
  <si>
    <t>品红：比大红浅的红色。</t>
  </si>
  <si>
    <t>魏红</t>
  </si>
  <si>
    <t>洛阳牡丹花后魏花之花色,千叶肉红牡丹。欧阳修《洛阳社丹记》载“魏家花者,千叶肉红花,出于魏相仁溥家”。牡丹花后之国色，姚黄魏红是升平景象。牡丹以培育者的姓氏命名，这是惯例，魏红是五代后周到北宋初年的宰相魏仁浦家出品的。魏仁浦的牡丹园在湖心岛上，凡是看牡丹，必须买票乘舟，所以魏家每年都能狠赚一笔，后来魏仁浦把园子进献给了宋太祖赵匡胤。宰相栽培牡丹也是风气,唐代宰相李藩培育过潜溪绯，五代后汉宰相苏禹珪培育过鹿胎花，魏仁浦之后的北宋宰相张齐贤培育过鞓红。洛阳牡丹是北宋民间的雅事和风气。</t>
  </si>
  <si>
    <t>紫矿</t>
  </si>
  <si>
    <t>老茯神是寄生在松树上的真菌,紫矿是寄生在麒麟竭树上的紫胶虫,造化钟神秀,颜色出万象。中国画传统颜料色。紫胶虫的雌虫分泌胶质物，呈紫红琥珀色，以之制取的胭脂称“棉胭脂”。苏敬《新修本草》载“紫矿,紫色如胶……蚁于海畔树藤皮中为之，如蜂造蜜。《吴录》所谓赤胶”。李时珍《本草纲目》载“(紫矿）乃细虫如蚁虱缘树枝造成”。麒麟竭又称骐驎竭。宋代药学家刘翰、马志等编著的《开宝本草》里,讲了紫矿、麒麟竭的区别:“紫矿、骐驎竭，二物同条，功效全别。紫矿色赤而黑，其叶大如盘,矿从叶上出。骐驎竭，色黄而赤，叶如樱桃，三角，竭从木中出。”紫矿是虫造，麒麟竭是树脂，紫矿、麒麟竭的叶子不一样，它们作为颜料颜色也不一样:紫矿红偏紫,麒麟竭红偏褐。 清代医家张璐在《本经逢原》中记载:“胭脂有四种，一种以红蓝花汁染胡粉而成，一种以山燕脂花汁染粉而成，一种以山榴花汁作成者，一种以紫矿汁染绵而成。”胭脂是加工品,其中紫矿制成的胭脂,称作棉胭脂。宋应星《天工开物》载“燕脂古造法以紫矿染绵者为上，红花汁及山榴花汁者次之”。</t>
  </si>
  <si>
    <t>樱桃红</t>
  </si>
  <si>
    <t>201,55,86</t>
  </si>
  <si>
    <t>樱桃色：鲜红色。</t>
  </si>
  <si>
    <t>秋海棠红</t>
  </si>
  <si>
    <t>219,90,107</t>
  </si>
  <si>
    <t>海棠红，淡紫红色、较桃红色深一些，是非常妩媚娇艳的颜色。</t>
  </si>
  <si>
    <t>朱砂/辰砂</t>
  </si>
  <si>
    <r>
      <rPr>
        <sz val="11"/>
        <color theme="1"/>
        <rFont val="方正粗黑宋简体"/>
        <charset val="134"/>
      </rPr>
      <t>朱砂又称辰砂，为古人最早使用的硫化矿物，早在6000多年前的河姆渡文化时期，先民已开始以朱砂矿物作为血祭和红色颜料使用。我国是朱砂主要生产国之一，其中又以湖南辰州生产的朱砂为最佳，故得名辰砂。
朱砂属六晶体、带金刚石光泽的矿石，化学成分是硫化汞( HgS )，呈猩红色。用辰砂制成的颜料在不同的时期有不同的称谓:朱砂、朱沙、丹砂、朱、光明珠、真朱等。又因辰砂原石的品种有深浅、明暗的差别,故会生产出不同色彩的朱砂色;在我国古代已能将辰砂矿石粗制出3~4个不同等级的色阶，以丰富红色的彩度。
朱砂早在战国时期即被女性用作涂唇的美容颜料。战国时楚人宋玉就以“着粉则太白，施朱则太赤”来形容天生丽质的美人。其时所指的朱即点唇用的朱砂，并非指胭脂，因为妍颊用的胭脂要到1世纪汉代时才从塞外的匈奴地区传入中原，但汉代妇女仍沿用朱砂点唇，以增诱人的美态。
朱砂色是覆盖力很强的不透明色，具有防腐性，故又广泛应用在古今壁画中。现代专家在莫高窟、麦积山石窟、新疆伯孜克里克石窟等历朝古壁画及彩陶中分析出朱砂颜料成分。朱砂与石绿、石青是传统绘画用色中的主要矿物色代表，属于有名的颜料。
古人又多用含金属元素的朱砂及银朱做漆器的涂料，而历代皇帝又专以朱砂批阅、点示奏折公文，以示尊贵。辰砂也是古代中医用药，含毒成分，功效为清心镇惊、安神及用于心悸等。辰砂的提纯物称为“丹”,古人用它来炼制长生不老的仙丹，是道教神仙术中不可或缺的重要制药原料。</t>
    </r>
    <r>
      <rPr>
        <sz val="11"/>
        <color theme="9" tint="-0.499984740745262"/>
        <rFont val="方正粗黑宋简体"/>
        <charset val="134"/>
      </rPr>
      <t>红色或红褐色，取自天然的朱砂矿石。朱砂在古代是一种华贵的颜色，帝王在批阅奏折称“朱笔御批”，“朱笔”就是蘸有朱砂之笔。</t>
    </r>
  </si>
  <si>
    <t>银朱</t>
  </si>
  <si>
    <t>209，41，32</t>
  </si>
  <si>
    <r>
      <rPr>
        <sz val="11"/>
        <rFont val="方正粗黑宋简体"/>
        <charset val="134"/>
      </rPr>
      <t>色泽亮丽的银朱，是我国传统人造颜料。先民约在公元前500年的东周时期，已经把水银（汞，Hg ）作为防腐剂使用。到了公元前2世纪，古人又学会将水银与硫黄合成，制造出这种色彩诱人的红色矿物颜料，因其化学结构为硫化汞( HgS )，成分与天然矿物朱砂(辰砂)相仿，与朱砂红的色阶接近，又因人造颜料的色彩一般都比天然矿物颜料和土质颜料鲜艳，故银朱色比朱砂色更来得夺目讨喜。因这种人造红色颜料主要提炼自水银，故称之为银朱。银朱的传统人工造法，在明代科学家宋应星的综合性科学技术图书《天工开物》中已有记载。具体方法是将水银与矿物硫黄按10∶2的比例倒进铁锅,充分混合后,以慢火加热干烧,首先生成的是暗红色硫化汞;接着将铁锅加温焙烧，把多余的硫黄燃烧掉,最后呈鲜红色的硫化汞细微结晶即在锅盖及铁锅内壁形成;将这些结晶刮下，粉碎成细末,再精制成用色材料。这种提炼法古称“干式法”或“升华法”。因这种人工粉末可以得到橙红色、纯赤色、浓赤色等人造朱，画师及工匠根据这些色阶深浅不同的红色，分别称之为黄朱、赤朱和黑朱。人造银朱的制炼法亦在日本平安时代（794—1185）后期传至该国，日本画师分别称它们为黄口朱、赤口朱和镰仓朱。“镰仓朱”一词因镰仓时代(1185——1333）绘画作品中的深朱色而得名。银朱是我国传统绘画中重要的人造矿物颜料且历史久远,早在北魏时期( 386—534)的敦煌壁画中已被广泛使用。现代学者专家也发现，古代艺匠亦以黄朱与铅白等铅化合物的颜料调和成粉红色，用于绘制敦煌壁画上人物的肤色，但金属铅若长期与阳光及空气接触,会氧化变成黑色。在民间画作中银朱色是涂画专事抓妖捉鬼的钟道的习惯用色，也用来画代表幸福的红色蝙蝠。属水银硫化物的银朱颜料为我国所发明，后经由阿拉伯传入欧洲，所以这种艳红色又被西方称为“中国红”。</t>
    </r>
    <r>
      <rPr>
        <sz val="11"/>
        <color theme="9" tint="-0.499984740745262"/>
        <rFont val="方正粗黑宋简体"/>
        <charset val="134"/>
      </rPr>
      <t>比朱砂更鲜艳的红色，由水银和硫黄升炼制成。是中国传统绘画中广泛应用的色彩。古时漆器剔红，先以银朱在漆器胎骨层层髹涂，再做雕刻。</t>
    </r>
    <r>
      <rPr>
        <sz val="11"/>
        <color theme="0" tint="-0.499984740745262"/>
        <rFont val="方正粗黑宋简体"/>
        <charset val="134"/>
      </rPr>
      <t>和铅黄一样,也是中国画传统颇料色,银是形容色值亮度高的传统色词汇,翠也有这个功能,譬如翠蓝。银者亮泽，朱者近赤,中国画传统颜料色。胡演《开丹炼药秘诀》载“升炼银朱，用石亭脂二斤，新锅内熔化，次下水银一斤，炒作青砂，头炒不见星。研末罐盛，石版盖住，铁线缚定，盐泥固济，大火锻之。待冷取出，贴罐者为银朱，贴口者为丹砂。银朱相比朱砂价廉，因而常被作为朱砂的替代品，《芥子园画传》有记载:“万一无朱砂，当以银朱代之”“如朱砂不佳,反不如银朱鲜明，则以银朱代之。须用标朱细研,漂澄其浮面沉脚,取中间者加胶用之”。 东汉道家魏伯阳在《周易参同契》中讲:“河上姹女,灵而最神。得火则飞，不见埃尘。鬼隐龙匿,莫知所存。将欲制之，黄芽为根。”炼丹术中称水银为姹女,水银遇到火就消失无踪，想要制服“她”，需要用硫黄粉末（黄芽)作为根底，二者化合即成银朱。 清末民初,“正尚斋”“太和号”“永吉号”“日光牌”均生产名牌银朱，其包装会标注“入漆银朱”字样,这是银朱的最高等级，表明银朱调入大漆不会变黑，次级品调入大漆则会变色,这是早年雕漆、金漆工艺品必需的做法，银朱加入大漆调成红色才堪用,近年已经做不到了。 在绘画、壁画、建筑彩画中，银朱、铅丹之类合成颜料多有应用，缺憾是不稳定，汞和铅在长期暴露条件下会发生化学反应，这是画中颜色变黑的原因。</t>
    </r>
  </si>
  <si>
    <t>炎</t>
  </si>
  <si>
    <t>炎：引申为红色。</t>
  </si>
  <si>
    <t>茜色</t>
  </si>
  <si>
    <t>158，40，4</t>
  </si>
  <si>
    <r>
      <rPr>
        <sz val="11"/>
        <rFont val="方正粗黑宋简体"/>
        <charset val="134"/>
      </rPr>
      <t>茜即茜草，又名</t>
    </r>
    <r>
      <rPr>
        <sz val="11"/>
        <rFont val="宋体"/>
        <charset val="134"/>
      </rPr>
      <t>蒨</t>
    </r>
    <r>
      <rPr>
        <sz val="11"/>
        <rFont val="方正粗黑宋简体"/>
        <charset val="134"/>
      </rPr>
      <t>草、染绯草、红蓝、风车草等，是多年生草本植物，因根茎含红色素，可作为大红色染料用。茜色是传统女性最喜爱和最普及的服色之一。
茜草与蓝草是人类最早应用于布帛漂染的植物染材,《周礼注疏》卷九曰:“蓝以染青,</t>
    </r>
    <r>
      <rPr>
        <sz val="11"/>
        <rFont val="宋体"/>
        <charset val="134"/>
      </rPr>
      <t>蒨</t>
    </r>
    <r>
      <rPr>
        <sz val="11"/>
        <rFont val="方正粗黑宋简体"/>
        <charset val="134"/>
      </rPr>
      <t>以染赤。”根据对汉代马王堆古墓出土的染织物色彩的研究,深红色是用茜草,并以明矾[又称白矾.钾铝矾,化学式为KAl(SO4)·12HzO]作为媒染剂染成,即茜染在东汉时期已流行。
茜红色是汉代之前皇帝的御用服色，《汉官仪》曰“染园出茜，供染御服，通作</t>
    </r>
    <r>
      <rPr>
        <sz val="11"/>
        <rFont val="宋体"/>
        <charset val="134"/>
      </rPr>
      <t>蒨</t>
    </r>
    <r>
      <rPr>
        <sz val="11"/>
        <rFont val="方正粗黑宋简体"/>
        <charset val="134"/>
      </rPr>
      <t>”，说明</t>
    </r>
    <r>
      <rPr>
        <sz val="11"/>
        <rFont val="宋体"/>
        <charset val="134"/>
      </rPr>
      <t>蒨</t>
    </r>
    <r>
      <rPr>
        <sz val="11"/>
        <rFont val="方正粗黑宋简体"/>
        <charset val="134"/>
      </rPr>
      <t>草在汉代已人工大量培植用于染布。茜色亦代表秀美的色彩，用茜草染成的茜红衫裙，是古时少女最钟爱的服饰之一,南唐李中的《溪边吟》便描述道“茜裙二八采莲去，笑冲微雨上兰舟。”大唐时期是历史上文化与色彩最绚丽的年代，因受到西域文化的影响与胡服的风行，自由奔放的气息尤其反映在女性的豪华俏丽的服饰上，茜红色就是当时的流行色之一。</t>
    </r>
    <r>
      <rPr>
        <sz val="11"/>
        <color theme="9" tint="-0.499984740745262"/>
        <rFont val="方正粗黑宋简体"/>
        <charset val="134"/>
      </rPr>
      <t>绛红色，为植物茜草根染成的颜色。古时茜色是女性钟爱之色，常用来染色罗裙，宋人吴文英有诗道：“茜罗结就丁香颗，颗颗相思。”</t>
    </r>
    <r>
      <rPr>
        <sz val="11"/>
        <color theme="0" tint="-0.499984740745262"/>
        <rFont val="方正粗黑宋简体"/>
        <charset val="134"/>
      </rPr>
      <t>茜色：茜草染的色彩，呈深红色。</t>
    </r>
  </si>
  <si>
    <t>赭色</t>
  </si>
  <si>
    <r>
      <rPr>
        <sz val="11"/>
        <rFont val="方正粗黑宋简体"/>
        <charset val="134"/>
      </rPr>
      <t>赭原指赤红色的土地，《说文解字》曰:“赭，赤土也。”泥土若含有氧化铁元素，即会呈现红色。我国古人早就明白这个道理,古籍《管子·地数》:“上有赭者，下有铁。”红土是世界各地最普遍及最早利用的土壤，赭土色相红中带褐，在古代仍被归纳在红色系之内。
赭土又名赭石、岱赭、赤铁矿(Fe2O3)，这种矿土广布全球各地，是先民在生活环境中随手可得的赭色材料，它又是一种稳定性较强的天然矿物色材料，因而最早出现在原始社会的岩画上，即以牛血混入赭土中当作颜色绘画。据我国美术史料记载，在秦始皇所兴建的阿房宫内的壁画用色中,亦包含了矿物色料赭色;另在古时的墓穴装饰、敦煌石窟的壁画上都有大量使用。因为赭色近血色，所以古人又以赭土涂面以做祭祀之用,在古代称之为“赭面”。自西周开始，上自帝王官员，下至士庶的服饰，均以颜色来区分身份与阶级地位。赭色曾经是象征低贱的颜色，是囚衫用的颜色,因而在古时赭衣即代表罪犯。但到了五代时期，赭色的含义已有所改变，褐红色成了将士所选用的战袍色泽，赭红则是比喻血溅红袍、战斗激烈之意。而服色制度随着朝代的更迭兴替而易色，赭色到了唐高宗时，曾经被选为皇帝的专用服色。
赭又可指脸色:“赫如渥赭，公言锡爵。”(《诗经·国风·榔风·简兮》)诗中的“赫”指火赤貌，“渥”是厚之意，“锡”通“赐”，爵是酒器。这句话的意思是说:他脸红如赭色，公说赐他一杯酒。赭色用在诗词上又多了几分唯美与浪漫的气息.</t>
    </r>
    <r>
      <rPr>
        <sz val="11"/>
        <color theme="9" tint="-0.499984740745262"/>
        <rFont val="方正粗黑宋简体"/>
        <charset val="134"/>
      </rPr>
      <t>红褐色，矿物赭石之色，是一种天然的矿物颜料。赭色曾为低贱之色，古时囚徒所穿赤褐色囚衣称为“赭衣”。</t>
    </r>
    <r>
      <rPr>
        <sz val="11"/>
        <color theme="0" tint="-0.499984740745262"/>
        <rFont val="方正粗黑宋简体"/>
        <charset val="134"/>
      </rPr>
      <t>赭色：红色、赤红色。古人用以饰面。</t>
    </r>
  </si>
  <si>
    <t>酡红</t>
  </si>
  <si>
    <t>酡红：像饮酒后脸上泛现的红色，泛指脸红</t>
  </si>
  <si>
    <t>唐菖蒲红</t>
  </si>
  <si>
    <t>丽春红</t>
  </si>
  <si>
    <t>烟红</t>
  </si>
  <si>
    <t>落霞红</t>
  </si>
  <si>
    <t>绯</t>
  </si>
  <si>
    <r>
      <rPr>
        <sz val="11"/>
        <color theme="1"/>
        <rFont val="方正粗黑宋简体"/>
        <charset val="134"/>
      </rPr>
      <t>红色稍浅。《说文解字》：“绯，帛赤色也。”古代朝官的红色品服称为“绯衣”。唐人韩愈《松区弘南归》有“佩服上色紫与绯”之句。</t>
    </r>
    <r>
      <rPr>
        <sz val="11"/>
        <color theme="0" tint="-0.499984740745262"/>
        <rFont val="方正粗黑宋简体"/>
        <charset val="134"/>
      </rPr>
      <t>绯红：艳丽的深红。</t>
    </r>
  </si>
  <si>
    <t>赤</t>
  </si>
  <si>
    <t>195，39，43</t>
  </si>
  <si>
    <r>
      <rPr>
        <sz val="11"/>
        <color theme="1"/>
        <rFont val="方正粗黑宋简体"/>
        <charset val="134"/>
      </rPr>
      <t>“赤”是最早见于甲骨文上、数个含有形容色彩意义的古汉字之一，字形结构从人（或大)、从火，寓意人在火上被烤得通红的色泽;另一种解释是“大火”谓之赤。东汉许慎《说文解字》中:“赤者，火色也。”又因“赤”字比“红”字出现早，所以在古时“赤”泛指各种不同彩度与明度的红色。例如，赤可指暗红的血色;又如，“色赤，椒好”（北魏贾思褫《齐民要术·种椒》），意为鲜红色的椒就是好椒;再如，赤日是形容橘红色的烈日等。在我国传统的色彩观中，同属红色系的赤色比朱色淡，《王制孔疏》解释:“色浅曰赤，色深曰朱。”在民间绘画艺术中，赤色颜料是用赭石或朱砂经研磨后获得。历来赤色不像红色多代表正面、幸福与喜气欢乐的意思，而是背负着不少负面的意义。例如:赤地是形容寸草不生的土地;赤贫如洗是形容极其贫穷;赤脚即光脚;而赤字则是指财务亏本无盈余。但赤诚是表示忠心或真挚。</t>
    </r>
    <r>
      <rPr>
        <sz val="11"/>
        <color theme="0" tint="-0.499984740745262"/>
        <rFont val="方正粗黑宋简体"/>
        <charset val="134"/>
      </rPr>
      <t>赤：本义火的颜色，即红色。</t>
    </r>
  </si>
  <si>
    <t>绀红</t>
  </si>
  <si>
    <t>红青色。《说文解字》解释说:“绀,帛深青扬赤色。”宋人李纲诗云，“绀发芳容超皇古”。</t>
  </si>
  <si>
    <t>高粱红</t>
  </si>
  <si>
    <t>成熟的高粱穗色。清雍正年间的炉钧釉，因红中泛紫，红斑似高粱穗状，也称“高粱红”。</t>
  </si>
  <si>
    <t>夕阳红</t>
  </si>
  <si>
    <t>赫</t>
  </si>
  <si>
    <r>
      <rPr>
        <sz val="11"/>
        <color theme="1"/>
        <rFont val="方正粗黑宋简体"/>
        <charset val="134"/>
      </rPr>
      <t>《说文解字》云：“赫，火红貌”，故如火烧之色，较朱色稍暗。《诗经》有“赫如渥赭”之语。</t>
    </r>
    <r>
      <rPr>
        <sz val="11"/>
        <color theme="0" tint="-0.499984740745262"/>
        <rFont val="方正粗黑宋简体"/>
        <charset val="134"/>
      </rPr>
      <t>赫赤：深红，火红。泛指赤色、火红色。</t>
    </r>
  </si>
  <si>
    <t>尖晶玉红</t>
  </si>
  <si>
    <t>朱色</t>
  </si>
  <si>
    <t>朱，字形从木，本义为一种红心木的名称,《山海经·西荒经》曰:“盖山之国有树，赤皮，名朱木。又朱赤，深纁也。”纁属一种红色。朱亦代表一种色泽接近赤色的颜色，西晋傅玄：“近朱者赤”(《太子少傅箴》），即古人视朱与赤是两种色彩相近的红色。朱色亦被纳入传统五色观的赤色系列中，属五正色之一，寄位于南方，属火，代表光明向阳之色。又将羽毛颜色通红的朱雀列为镇守南方的“四灵”之一。
先民认为红色是代表长生的颜色，故古代习惯以朱漆的棺椁土葬死者，而祭器中亦以朱色为主:“墨染其外，而朱画其内。”(《韩非子·十过》）朱色在古时也是代表尊贵的色彩。自周朝开始，即利用不同的头冠、服饰及衣色来定名位、别尊卑，以巩固社会等级及稳定政局。“朱衣冠，执朱弓，挟朱矢”(《墨子·明鬼下》)，朱是古代皇帝的专用装扮色。在建筑用色中，据晋代葛洪《西京杂记》记载，汉成帝刘骜的皇后赵宜主（即名舞姬赵飞燕），与妹妹所居住的寝宫即以朱红色为主、黄金色为辅，极其精致华丽。而朱门即红色大门，是指王公贵冑的豪宅正门都漆上红色，以示显赫的地位。
朱锦是宋代儿童常用的可爱服色;朱红色衣衫象征女性的青春之美。朱色亦寓意大吉大利，在南宋文人咸淳的《临安志》中，海神妈祖每次出海飞翔救溺，都身穿朱衣以表示吉祥。
此外，明朝因开国皇帝姓朱，故以朱为正色。明末清初姑苏才子金圣叹，因对统治阶层不满而画墨牡丹，并题字“夺朱非正色，异种也称王”，结果以文字狱遭杀身之祸。文句中的异种指满族人，意思是说明朝江山为满族人所夺，画牡丹舍朱色而用黑色，即非正色，暗讽异族何能代表中华正统称王。</t>
  </si>
  <si>
    <t>石榴裙</t>
  </si>
  <si>
    <t>色挟石榴之红,裙带美人之姿。唐朝服饰流行色,“开箱验取石榴裙”才是武媚娘的初心。</t>
  </si>
  <si>
    <t>朱殷</t>
  </si>
  <si>
    <t>《左传·成公二年》日“左轮未殷,岂敢言病”。杜预注“朱,血色,血色久则殷”。司马青衫的白居易向往的服饰是“紫烂复朱殷”,着刺史绯、脱刺史绯,蹉跎复蹉。</t>
  </si>
  <si>
    <t>鹅冠红</t>
  </si>
  <si>
    <t>枫叶红</t>
  </si>
  <si>
    <t>鹅血石红</t>
  </si>
  <si>
    <t>鹤顶红</t>
  </si>
  <si>
    <t>210，71，53</t>
  </si>
  <si>
    <t>矿物色而不是动物色,并非来自柔美的丹顶鹤,而是来自惊悚的砒霜。源自矿物色,含有杂质的三氧化二砷(砒霜)呈现的颜色。</t>
  </si>
  <si>
    <t>珊瑚赫</t>
  </si>
  <si>
    <t>古代以铁网沉于珊瑚上,珊瑚愈生长,铁网愈扣住,待拉铁网出水,珊瑚也就得到了,落日火红珊瑚出水,时旺财旺。其色如珊瑚出海,落日火赤,故得名。许慎《说文解字·赤部》载“赫,火赤貌”。</t>
  </si>
  <si>
    <t>玫瑰灰</t>
  </si>
  <si>
    <t>朱孔阳</t>
  </si>
  <si>
    <t>《诗经》里贵人衣裳的颜色，公子翩翩，何其明艳。《诗经·豳风·七月》日“载玄载黄,我朱孔阳,为公子裳”。传曰“朱赤,深纁也。阳，明也”。其色鲜红明艳,其意喜气洋洋。宋应星《天工开物》云“(造红花饼法）带露摘红花,捣熟以水淘，布袋绞去黄汁。又捣以酸粟或米泔清。又海,又绞袋去汁，以青蒿覆一宿,捏成薄饼,阴干收贮。染家得法,我朱孔扬,所谓猩红也”。</t>
  </si>
  <si>
    <t>牡丹红</t>
  </si>
  <si>
    <t>在我国古人的传统色彩审美观念中，能够以一种颜色比喻富贵与荣华的，非牡丹红莫属。又若要列举单一植物，只凭其独有且变化多端的颜色，就几乎可以囊括七彩色相环中每一种色彩的，大概只有烂漫七彩的牡丹花才能做到。
牡丹是我国固有的特产花卉，在古籍中已有数千年的野生记录和2000多年的人工培植历史。原生长于我国西北部的牡丹又名芍药、木芍药、洛阳花，为毛莨科芍药属落叶灌木，故在秦汉以前，牡丹与芍药不分，统称为芍药。《诗经·凑有》有言:“维士与女，伊其相谑，赠之以芍药。”古时的芍药、牡丹就像今天的玫瑰，是爱情的信物。牡丹之名始见于秦汉时期的《神农本草经》，最早只用于入药，中医称为丹皮。到了南北朝时期，才有人将野生的牡丹移植至家中庭园，开始作为观赏花培植。据史料记载，当时的牡丹花至少已出现了红、紫、黄、粉、白五种花色。到了宋代，人们已将牡丹培育出数十种花色并培育出一些稀奇的品种,例如花颜如绿豆色的“豆绿”和近似黑色的“黑剪绒”等。而经过历代的不断研发,牡丹花卉除了花形多变化外，花色还增加了蓝及复色等共九个色系。
我国自古以炫彩的花色代表国色的，大约始于唐代，唐人刘禹锡就说过:“唯有牡丹真国色，花开时节动京城。”(《赏牡丹》）牡丹花色得意，而且色彩深浅自如，所以是古人列花品评中直接以“色”为名的花卉。在北宋文人欧阳修所写《洛阳牡丹记》中，即以“一擫红，丹州红,豆绿，鹤翎红，甘草黄,姚黄,芽呈红,朱家黄,荣府紫，魏紫……”来分辨不同的牡丹品种。五色百彩的牡丹诸色，丰富了传统文化中妖娆妩媚的艳色系列。</t>
  </si>
  <si>
    <t>红色</t>
  </si>
  <si>
    <r>
      <rPr>
        <sz val="11"/>
        <color theme="1"/>
        <rFont val="方正粗黑宋简体"/>
        <charset val="134"/>
      </rPr>
      <t>汉语“红”字大约在商朝的金文中出现，比在殷商甲骨文中已考据出的“赤”字晚。金文又称钟鼎文或铭文，是铸造或镂刻在青铜器上的文字，初始于商末，盛于西周，距今已有逾3000年的历史。而“红”字的结构左边从“幺”，右边从“工”，字义原指女子从事抽丝纺织与缝纫等手艺劳动的工作，故有女红(音工)的称谓，含义至今未改。
红原指桃色及粉红等浅色阶的赤色，《说文解字》曰“红，帛赤白色也”，即是说红是赤色混合白色后所呈现的色调。帛是战国时期以前对所有丝织品的统称。
红也用来形容丝织品中，以茜草、苏枋、檀木等草木的天然红色素经渍染后所呈现的颜色。先民又继而以“幺”为偏旁不断创造新生字汇，用来形容各种色泽深浅不一的红色纺织制品。譬如缇是橘黄色的布帛、绂是赤红色的丝绳、</t>
    </r>
    <r>
      <rPr>
        <sz val="11"/>
        <color theme="1"/>
        <rFont val="宋体"/>
        <charset val="134"/>
      </rPr>
      <t>緅</t>
    </r>
    <r>
      <rPr>
        <sz val="11"/>
        <color theme="1"/>
        <rFont val="方正粗黑宋简体"/>
        <charset val="134"/>
      </rPr>
      <t>是青赤色的织物等，使得人们无论是指称不同种类的丝织物，还是描述各种产品的色调，在沟通表达上更加准确与细腻。而“红”字从周代末期开始，又逐渐演变成代表赤色系列的泛称。大约到了公元7世纪的唐代，“红”才真正成为一个专有颜色名词，独指色泽耀目亮丽的红色，其含义一直沿用至今未曾改变，而且成为中华民族最喜爱的颜色，甚至丰富了我国的历史、文化内涵与民间的习俗。红色在西方代表着危险、鲜血、激进、停止与急躁，但在我国却象征着朝气、权力、地位、浪漫与性感等鲜明的、正面的国俗与民俗语义。
红色是社会氛围豪放大气的唐朝的流行色彩，唐代皇帝所穿的常服是红衫袍，三品至五品官职的朝服限用红色。奔放热情的红色也是唐朝女子最钟爱的时尚色彩。唐代民间的婚礼服为青色，但士子阶层可以穿红色礼服迎娶新娘。到了宋朝，允许贵族女子穿着皇后的常服，即红色大袖衣裳出嫁。自此，男女新人都穿着红色婚礼服成为婚嫁习俗，一直沿袭至今。
明朝因国家兴起于南方，又因开国皇帝姓朱(名元璋，1328—1398），所以当时的政治文化倡导使用象征火的红色，明代皇帝祭日时都会身穿红色御服，连皇城的围墙也要涂上朱色以示皇居之地。自此，朱红色成了皇室建筑的专用色，一直延续至清末。又因古代的宫殿建筑的梁柱多用木材建造，在古代的五行理论中，火与木相生，所以梁柱都会漆上鲜红色以作为相生对应。在唐代，民间红楼是豪门家眷的居所，红楼指的是绘有艳丽彩画的阁楼。然而红楼入诗之后则意味着艳情。风流雅士则将女子美称为“红颜”“红粉”“红袖”及“红妆”，又称闺房为“红楼”，红色给人无限的遐想。
在传统民间习俗上，凡是与节日、喜庆、吉祥、好运、热闹等有关的节庆及事物，都会以红色来表现。逢年过节讨吉利要发红包;赚大钱要发红利;满堂红、大红人、大红大紫则象征成功;火红表示热闹;气运亨通、春风得意则说“红光满面”。但是脸红则是形容害羞、难为情;“红眼病”不仅是医学上的名词，还有妒忌之意。
红色贯穿了整部中华历史，渗透到各个层面与领域，是中华文化的深厚底色。</t>
    </r>
  </si>
  <si>
    <r>
      <rPr>
        <sz val="11"/>
        <color theme="1"/>
        <rFont val="方正粗黑宋简体"/>
        <charset val="134"/>
      </rPr>
      <t>丹</t>
    </r>
    <r>
      <rPr>
        <sz val="11"/>
        <color theme="1"/>
        <rFont val="宋体"/>
        <charset val="134"/>
      </rPr>
      <t>雘</t>
    </r>
  </si>
  <si>
    <r>
      <rPr>
        <sz val="11"/>
        <color theme="1"/>
        <rFont val="方正粗黑宋简体"/>
        <charset val="134"/>
      </rPr>
      <t>中国画传统颜料色，今之姜思序堂有售。喜气、仙气、贵气、福气在中国画传统里，都离不开一抹丹</t>
    </r>
    <r>
      <rPr>
        <sz val="11"/>
        <color theme="1"/>
        <rFont val="宋体"/>
        <charset val="134"/>
      </rPr>
      <t>雘</t>
    </r>
    <r>
      <rPr>
        <sz val="11"/>
        <color theme="1"/>
        <rFont val="方正粗黑宋简体"/>
        <charset val="134"/>
      </rPr>
      <t>色。</t>
    </r>
  </si>
  <si>
    <t>赤灵</t>
  </si>
  <si>
    <t>其色出自传说中的红色神鱼、或以为是无角的红龙。《抱朴子》日“丹水出丹鱼，先夏至十日,夜伺之,鱼浮水侧,光照如火，网而取之,割其血以涂足,可以步行水上,长居川中不溺”。翠虬是无角的青龙、赤灵是无角的红龙,都是招人喜爱的精灵颜色。</t>
  </si>
  <si>
    <t>绛</t>
  </si>
  <si>
    <r>
      <rPr>
        <sz val="11"/>
        <color theme="1"/>
        <rFont val="方正粗黑宋简体"/>
        <charset val="134"/>
      </rPr>
      <t>绛从“幺”字部,原指一种丝织品,《晋书·礼志下》曰:“绛二匹、绢二百匹。”绛又是颜色名词，绛色可经由茜草的红色素重复渍染，不断加深色度而获得。而绛古谓之“</t>
    </r>
    <r>
      <rPr>
        <sz val="11"/>
        <color theme="1"/>
        <rFont val="宋体"/>
        <charset val="134"/>
      </rPr>
      <t>纁</t>
    </r>
    <r>
      <rPr>
        <sz val="11"/>
        <color theme="1"/>
        <rFont val="方正粗黑宋简体"/>
        <charset val="134"/>
      </rPr>
      <t>”(红色)，本义为大赤色,《说文解字》释为“</t>
    </r>
    <r>
      <rPr>
        <sz val="11"/>
        <color theme="1"/>
        <rFont val="宋体"/>
        <charset val="134"/>
      </rPr>
      <t>纁</t>
    </r>
    <r>
      <rPr>
        <sz val="11"/>
        <color theme="1"/>
        <rFont val="方正粗黑宋简体"/>
        <charset val="134"/>
      </rPr>
      <t>,大赤也”;其后又表示为深红色、大红色，即为传统的中国红色。
绛色其色彩的含义与用法会随着时代的演变而改变。《后汉书·舆服志》中的武将额头上加绛帕(头巾),以别军阶及贵贱。
古代军服亦常用绛色，以增强阳刚杀气，同时也可以减轻将士因受伤见血时的心理压力与恐惧感。三国魏晋时期，军中将领又流行身披大红袍，以表现威猛与神勇的形象。在小说家罗贯中笔下的赤壁之战火烧连环船的著名故事中，曹操就是身披绛色战袍上阵与敌军对垒厮杀。绛色在中华传统的红色系列中也是代表实用、赏心悦目、福气与香艳的色彩。在衣着上“绛衣博袍”（《墨子·公孟》)是指深红色的长袍。唐代皇帝的官服为绛色衣，据说杨贵妃出浴时披的是大红浴袍。宋代天子的朝服是绛纱袍。深绛色到了清乾隆后期被推崇为“福色”，所以流行深绛色的马褂。而点绛唇原指胭脂红唇，后成为词牌名，出处源自南朝江淹的《咏美人春游》:“白雪凝琼貌，明珠点绛唇。”</t>
    </r>
    <r>
      <rPr>
        <sz val="11"/>
        <color theme="9" tint="-0.499984740745262"/>
        <rFont val="方正粗黑宋简体"/>
        <charset val="134"/>
      </rPr>
      <t>大红色。《说文解字》：“绛，大赤也”。唐人白居易诗云：“前片赤英霞灿烂，百枝绛点灯煌煌。”也作深红色的释义。</t>
    </r>
  </si>
  <si>
    <t>佛赤</t>
  </si>
  <si>
    <t>亦称紫赤金,出自中国绘画雕塑建筑传统所用的金箔色。它以真金拼入紫铜制成,呈较深的金赤色,多用于寺庙佛像。佛塑金身的颜色，法相庄严，慈悲济世。</t>
  </si>
  <si>
    <r>
      <rPr>
        <sz val="11"/>
        <color theme="1"/>
        <rFont val="方正粗黑宋简体"/>
        <charset val="134"/>
      </rPr>
      <t>丹</t>
    </r>
    <r>
      <rPr>
        <sz val="11"/>
        <color theme="1"/>
        <rFont val="宋体"/>
        <charset val="134"/>
      </rPr>
      <t>罽</t>
    </r>
  </si>
  <si>
    <r>
      <rPr>
        <sz val="11"/>
        <color theme="1"/>
        <rFont val="方正粗黑宋简体"/>
        <charset val="134"/>
      </rPr>
      <t>丹</t>
    </r>
    <r>
      <rPr>
        <sz val="11"/>
        <color theme="1"/>
        <rFont val="宋体"/>
        <charset val="134"/>
      </rPr>
      <t>罽</t>
    </r>
    <r>
      <rPr>
        <sz val="11"/>
        <color theme="1"/>
        <rFont val="方正粗黑宋简体"/>
        <charset val="134"/>
      </rPr>
      <t>是指枝头荔枝红。寻得这个颜色时，和寻得檎丹时一样开心，“丹</t>
    </r>
    <r>
      <rPr>
        <sz val="11"/>
        <color theme="1"/>
        <rFont val="宋体"/>
        <charset val="134"/>
      </rPr>
      <t>罽</t>
    </r>
    <r>
      <rPr>
        <sz val="11"/>
        <color theme="1"/>
        <rFont val="方正粗黑宋简体"/>
        <charset val="134"/>
      </rPr>
      <t>”是“枝头荔枝红”的雅称。丹罽，枝头荔枝红的颜色。东汉文人王逸写的《荔支赋》:“灼灼若朝霞之映日，离离如繁星之着天。皮似丹罽，肤若明珰。”荔枝皮近似丹罽，罽最早的意思是织的兽皮，织皮的工艺效果如同我们今天在商场看到的品牌手袋，是皮条的方格编织，这种皮质凸凹的效果如果是丹红色，确实像荔枝皮。荔枝，西汉时写作离支，东汉时又写作荔支，本义是带着枝丫,荔枝不能离开枝叶，假如连枝丫割下，保鲜期会加长。西汉文人司马相如写的《上林赋》，皇家园子里水果琳琅满目，里面就有离支:“于是乎卢橘夏熟，黄甘橙楱,枇杷橪柿，亭奈厚朴,梬枣杨梅,樱桃蒲陶,隐夫薁棣,答沓离支,罗乎后宫,列乎北园。” 罽，后来从织皮发展到织毛，所以毛织物也叫罽。红色毛织衣服，也叫作丹罽，或者叫作红罽衣。</t>
    </r>
  </si>
  <si>
    <t>朱湛</t>
  </si>
  <si>
    <r>
      <rPr>
        <sz val="11"/>
        <color theme="1"/>
        <rFont val="方正粗黑宋简体"/>
        <charset val="134"/>
      </rPr>
      <t>这是茜草浸泡液的颜色,与之合体的丹秫是媒染剂,这样就有了这种厚重的红色。语出《周礼·考工记》“钟氏染羽,以朱湛丹秫,三月而炽之,淳而渍之。三入为</t>
    </r>
    <r>
      <rPr>
        <sz val="11"/>
        <color theme="1"/>
        <rFont val="宋体"/>
        <charset val="134"/>
      </rPr>
      <t>纁</t>
    </r>
    <r>
      <rPr>
        <sz val="11"/>
        <color theme="1"/>
        <rFont val="方正粗黑宋简体"/>
        <charset val="134"/>
      </rPr>
      <t>,五入为</t>
    </r>
    <r>
      <rPr>
        <sz val="11"/>
        <color theme="1"/>
        <rFont val="宋体"/>
        <charset val="134"/>
      </rPr>
      <t>緅</t>
    </r>
    <r>
      <rPr>
        <sz val="11"/>
        <color theme="1"/>
        <rFont val="方正粗黑宋简体"/>
        <charset val="134"/>
      </rPr>
      <t>，七入为缁”。朱湛的湛字是浸渍的意思，丹秫的秫字是黏性谷物的意思，朱湛丹秫就是将朱砂与黏性谷物一起浸渍和发醇,以期朱砂颜料能够借由淀粉黏度而更好地附着于织物。经过三个月到达最佳的状态,再浸泡。三入、五入、七入指浸泡的次数，如要取得较深的、较鲜艳的色相的话,就必须反复地染色，朱湛就是厚重的红色。《周礼·考工记》通行的解读是朱砂和黏性谷物在一起浸泡，高温下三个月，就得到厚重的朱红色,用之来给鸟的羽毛染色。 朱砂染色，属于石染法，天然朱砂在进行加工提纯时会出现三层色彩,最上一层发黄,最下一层发暗，中间一层是纯正的朱红。用这种朱红色浸染丝线，然后织造丝帛，鲜艳的色彩会保留千年，目前出土的商周丝织品就可以看到这种鲜艳的朱砂染色。 与以上不同的解读,比较能说服我，因为朱砂和黏性谷物在高温下浸泡三个月,朱砂会转化成水银，黏性谷物会水解而丧失黏性,因而无法得到厚重的朱红色。如果朱不是朱砂，而是朱草，那么最可能的就是当时流行染红的茜草，属于草染法。丹秫可能就是丹粟，丹粟即朱砂，朱砂与茜草的浸泡液在高温下可以生成促使茜草红色素析出的媒染剂,这才能得到完美的朱红色。 朱是厚重的红色,朱砂染色有辟邪的说法,祭祀的场合比较适用。</t>
    </r>
  </si>
  <si>
    <t>水华朱</t>
  </si>
  <si>
    <t>银朱之别称，中国画传统颜料色，亦入药。真银朱色也，不褪色、不畏虫而成为中国画的印泥见证色,降阴阳、济水火而成为扶危拯急的中药。胡演《开丹炼药秘诀》载“升炼银朱，用石亭脂二斤，新锅内熔化，次下水银一斤，炒 作青砂，头炒不见星。研末罐盛，石版盖住，铁线缚定，盐泥固济，大火锻之。待冷 取出，贴罐者为银朱，贴口者为丹砂。今人多以黄丹及矾红杂之，其色黄黯，宜辨之。 真者谓之水华朱。每水银一斤，烧朱一十四两八分，次朱三两五钱”。</t>
  </si>
  <si>
    <t>苋菜红</t>
  </si>
  <si>
    <t>胭脂虫</t>
  </si>
  <si>
    <t>和密陀僧样，也是由域外传入中国的,时间上稍晚,明代时从美洲传入。胭脂虫红,从美洲仙人掌上的胭脂虫雌性体内提取的一种天然色素,中国画传统颜料色，贵重舶来品，亦称之为“洋红”。吴蹇《论印绝句十二首》咏“血染洋红久不消,芝泥方法费深调”,自注“洋红,出大西洋国,以少许入印色,其红胜丹砂宝石百倍,日久而愈艳”。缪公恩《洋红》咏“谁碾朱砂拥菊丛,丹葩和露绽西风。一从番舶来中土,赢得扶桑晓日红”。于非暗《中国画颜色的研究》载“西洋红是在1582年以后被使用的(曾鲸画像用西洋红)。经过加工精制的西洋红，颜色温暖艳丽,且历久不变。西洋红的色彩非常夺目。尤其是在花卉画中,效果更胜于传统的胭脂”。洋红用于国画，并不像胭脂那要咬纸，兑入胶水才更好用。</t>
  </si>
  <si>
    <t>綪茷</t>
  </si>
  <si>
    <t>红色大旗在风中猎猎招展的样子,其高亢引领的预示不言而喻。《左传·定公四年》曰“分康叔以大路、少帛、綪茷、旃旌、大吕”。杜预注“綪茷,大赤,取染草名也”。</t>
  </si>
  <si>
    <t>覆盆子红</t>
  </si>
  <si>
    <t>丹秫</t>
  </si>
  <si>
    <t>前面讲过与之搭档的“朱湛”,作为媒染剂，朱砂是成就深红的功臣。语出《周礼·考工记》“钟氏染羽,以朱湛丹秫,三月而炽之,淳而渍之。三入为纁,五入为緅，七入为缁”。丹秫的秫是黏稠的意思,丹秫乃是鲜艳深厚的红色。古代染色技术从泥染、炭染发展到石染、草染。丹秫也就是朱砂,这里丹秫是朱湛的媒染剂,起到帮助朱湛着染于丝织物的作用。</t>
  </si>
  <si>
    <t>朱樱</t>
  </si>
  <si>
    <t>熟透的樱桃色,说起来樱桃在中国有三千年的种植史。苏颂《本草图经》曰“樱桃,其实熟时深红者,谓之朱樱”。</t>
  </si>
  <si>
    <t>暗紫苑红</t>
  </si>
  <si>
    <r>
      <rPr>
        <sz val="11"/>
        <color theme="1"/>
        <rFont val="方正粗黑宋简体"/>
        <charset val="134"/>
      </rPr>
      <t>大</t>
    </r>
    <r>
      <rPr>
        <sz val="11"/>
        <color theme="1"/>
        <rFont val="宋体"/>
        <charset val="134"/>
      </rPr>
      <t>繎</t>
    </r>
  </si>
  <si>
    <r>
      <rPr>
        <sz val="11"/>
        <color theme="1"/>
        <rFont val="方正粗黑宋简体"/>
        <charset val="134"/>
      </rPr>
      <t>史游《急就篇》有“蒸栗绢绀缙红</t>
    </r>
    <r>
      <rPr>
        <sz val="11"/>
        <color theme="1"/>
        <rFont val="宋体"/>
        <charset val="134"/>
      </rPr>
      <t>繎</t>
    </r>
    <r>
      <rPr>
        <sz val="11"/>
        <color theme="1"/>
        <rFont val="方正粗黑宋简体"/>
        <charset val="134"/>
      </rPr>
      <t>”一句,颜师古注“蒸栗,黄色,若蒸孰之栗也。绢,生白缯,似缣而疏者也，一名鲜支。绀，青而赤色也。缙,浅赤色也。红,色赤而白也。</t>
    </r>
    <r>
      <rPr>
        <sz val="11"/>
        <color theme="1"/>
        <rFont val="宋体"/>
        <charset val="134"/>
      </rPr>
      <t>繎</t>
    </r>
    <r>
      <rPr>
        <sz val="11"/>
        <color theme="1"/>
        <rFont val="方正粗黑宋简体"/>
        <charset val="134"/>
      </rPr>
      <t>者,红色之尤深,言若火之然也”。大</t>
    </r>
    <r>
      <rPr>
        <sz val="11"/>
        <color theme="1"/>
        <rFont val="宋体"/>
        <charset val="134"/>
      </rPr>
      <t>繎</t>
    </r>
    <r>
      <rPr>
        <sz val="11"/>
        <color theme="1"/>
        <rFont val="方正粗黑宋简体"/>
        <charset val="134"/>
      </rPr>
      <t>,其色大开大放,如火如荼。壮烈的颜色,其气势正如《诗经》里“如火烈烈,则莫我敢曷”,冲锋陷阵的大军勇猛如火,没有谁敢把我的攻势阻挡。</t>
    </r>
  </si>
  <si>
    <t>福色</t>
  </si>
  <si>
    <t>？更紫？</t>
  </si>
  <si>
    <r>
      <rPr>
        <sz val="11"/>
        <color theme="1"/>
        <rFont val="方正粗黑宋简体"/>
        <charset val="134"/>
      </rPr>
      <t>蔡京的太师青、福康安的福色，都是因向往显贵而流传。典出清代福康安,其色福瑞吉祥。李斗《扬州画舫录》云“扬郡着衣,尚为新样,十数年前,缎用八团,后变为大洋莲、拱璧兰颜色,在前尚三蓝、朱、墨、库灰、泥金黄,近用膏梁红、樱桃红,谓之福色”。昭</t>
    </r>
    <r>
      <rPr>
        <sz val="11"/>
        <color theme="1"/>
        <rFont val="宋体"/>
        <charset val="134"/>
      </rPr>
      <t>梿</t>
    </r>
    <r>
      <rPr>
        <sz val="11"/>
        <color theme="1"/>
        <rFont val="方正粗黑宋简体"/>
        <charset val="134"/>
      </rPr>
      <t>《啸亭续录》云“色料初尚天蓝,乾隆中尚玫瑰紫,末年福文襄王好着深绛色，人争效之,谓之‘福色’”。</t>
    </r>
  </si>
  <si>
    <t>枣红</t>
  </si>
  <si>
    <t>195,33,54</t>
  </si>
  <si>
    <r>
      <rPr>
        <sz val="11"/>
        <color theme="1"/>
        <rFont val="方正粗黑宋简体"/>
        <charset val="134"/>
      </rPr>
      <t>红枣之色,暗红色。《三国志通俗演义》中称关羽“面如重枣”，故此色象征忠诚。</t>
    </r>
    <r>
      <rPr>
        <sz val="11"/>
        <color theme="0" tint="-0.499984740745262"/>
        <rFont val="方正粗黑宋简体"/>
        <charset val="134"/>
      </rPr>
      <t>枣红：即深红</t>
    </r>
  </si>
  <si>
    <t>顺圣</t>
  </si>
  <si>
    <t>北宋神宗朝色,或者说“潮色”，圣上的潮流色鲜赤近紫,正如其庙号“神宗”，神乎其神,莫能其言。其色鲜赤而似紫,宋神宗朝色，后为牡丹色。史铸《百菊集谱》载“刘蒙《菊谱》有顺圣浅紫之名，愚按皇朝嘉佑中有油紫,英宗朝有黑紫,神宗朝色加鲜赤,目为顺圣紫,盖色得其正矣”。</t>
  </si>
  <si>
    <t>殷红</t>
  </si>
  <si>
    <t>190,0,47</t>
  </si>
  <si>
    <r>
      <rPr>
        <sz val="11"/>
        <color theme="1"/>
        <rFont val="方正粗黑宋简体"/>
        <charset val="134"/>
      </rPr>
      <t>黑红色，本意是血液凝固时的颜色。《左传·成公二年》云:“流血及屦，左轮朱殷。”后人也以此形容器皿或服饰之色。</t>
    </r>
    <r>
      <rPr>
        <sz val="11"/>
        <color theme="0" tint="-0.499984740745262"/>
        <rFont val="方正粗黑宋简体"/>
        <charset val="134"/>
      </rPr>
      <t>殷红：发黑的红色。</t>
    </r>
  </si>
  <si>
    <t>木兰</t>
  </si>
  <si>
    <r>
      <rPr>
        <sz val="11"/>
        <color theme="1"/>
        <rFont val="方正粗黑宋简体"/>
        <charset val="134"/>
      </rPr>
      <t>木兰袈裟,以黑污赤而坏色,此乃谦卑之心。《摩诃僧</t>
    </r>
    <r>
      <rPr>
        <sz val="11"/>
        <color theme="1"/>
        <rFont val="宋体"/>
        <charset val="134"/>
      </rPr>
      <t>祇</t>
    </r>
    <r>
      <rPr>
        <sz val="11"/>
        <color theme="1"/>
        <rFont val="方正粗黑宋简体"/>
        <charset val="134"/>
      </rPr>
      <t>律》云“木兰色,谓西蜀木兰,皮可染作赤黑色。古晋高僧多服此衣。”。道宣《四分律删繁补阙行事钞》云“予于蜀郡亲见木兰树皮,赤黑色鲜明，可以为染。微有香气,亦有用作香者,如善见所说”。亦称乾陀色。杲宝《大日经疏演奥钞》云“乾陀色者,赤色微涉黑色之色也。即是三色中木兰色也”。佛家谦卑，避开青赤白黑黄五正色，服饰使用不正色,称作坏色。按照律法，标准的坏色有三种:青、黑、木兰，青是铜青色,黑是杂泥色,木兰是树皮色。</t>
    </r>
  </si>
  <si>
    <t>玄色</t>
  </si>
  <si>
    <t>55，7，8</t>
  </si>
  <si>
    <r>
      <rPr>
        <sz val="11"/>
        <color theme="1"/>
        <rFont val="方正粗黑宋简体"/>
        <charset val="134"/>
      </rPr>
      <t>赤黑色。《说文解字》释为“黑而有赤”。《周易》云：“天玄地黄”，周天子祭天礼服便为玄衣。对应于天，又延伸出深奥幽远、清净等意境。</t>
    </r>
    <r>
      <rPr>
        <sz val="11"/>
        <color theme="1" tint="0.349986266670736"/>
        <rFont val="方正粗黑宋简体"/>
        <charset val="134"/>
      </rPr>
      <t>古汉语“玄”字最早见于3000多年前的殷墟甲骨文上，是华夏先民用来形容世界混沌初开时的黯淡天色:“天地玄黄，宇宙洪荒。”(《千字文》）即暗黑的天色与土黄的大地色之意。玄色是一种泛现暗红色调的暖黑色，属于大自然中的天光色彩:“玄:幽远也。黑而有赤色者为玄。”(《说文解字》）玄色有令人生畏、远邃不可知的感觉，是传统色彩中表示深不可测的颜色。在古代，玄是指大陆北方严峻未明的天空色泽，所以在盛行于春秋时代的“五色行”理论中，玄色对应北方，又属水，象征玄武。玄武为主镇北方风雨的水神，状如龟蛇，而身有鳞甲者古称之为武。玄色在中国上古文化中是一种充满神秘色彩、予人幻想空间的颜色。冥指的是阴间，而玄冥是指阴间位于北方之意。相传商代的祖先是玄鸟——玄鸟可能是指燕子。在古代神话中又有九天玄女，据说是天地间的唯一女神。而在道教的传说中,提到昆仑山上有一块方圆800里的美丽园圃，是黄帝的下都，也是仙人聚会之所，称为“玄圃”，凡间众人如能登山入玄圃，即可马上成仙且长生不老。玄亦指北方的暗晦淼邈水色，故古人又称水为“玄酒”。玄字用在距离上是指“幽暗遥远空洞”之意;若用在哲学思想上则表示深奥玄妙的道理，所以老子又称“道”为“玄之又玄”。此外，玄字又指旋，即旋转的本义是不停地变化，用来比喻宇宙万物的运行规律，以及万物的起端皆始于此的意思。所以又称“玄之又玄，众妙之门”(《道德经》)，“玄妙”—词即由此而来。后来又以“玄妙”指“道”。而玄关则是住宅中从正门入口处通往客厅的走道的称谓。玄通“眩”及“炫”，意指迷乱、迷惑、耀目的光彩。玄又表示不真实、不可靠的意思，所以有“故弄玄虚”的成语。</t>
    </r>
    <r>
      <rPr>
        <sz val="11"/>
        <color theme="0" tint="-0.499984740745262"/>
        <rFont val="方正粗黑宋简体"/>
        <charset val="134"/>
      </rPr>
      <t>玄色：赤黑色，黑中带红的颜色，又泛指黑色。</t>
    </r>
  </si>
  <si>
    <t>葡萄酒红</t>
  </si>
  <si>
    <t>爵头</t>
  </si>
  <si>
    <r>
      <rPr>
        <sz val="11"/>
        <color theme="1"/>
        <rFont val="方正粗黑宋简体"/>
        <charset val="134"/>
      </rPr>
      <t xml:space="preserve">赤多黑少的雀头颜色,古代贵族男子二十岁时行加冠礼,礼仪第一回合的冠是这种颜色。爵通雀。《仪礼·士冠礼》曰“爵弁服: </t>
    </r>
    <r>
      <rPr>
        <sz val="11"/>
        <color theme="1"/>
        <rFont val="宋体"/>
        <charset val="134"/>
      </rPr>
      <t>纁</t>
    </r>
    <r>
      <rPr>
        <sz val="11"/>
        <color theme="1"/>
        <rFont val="方正粗黑宋简体"/>
        <charset val="134"/>
      </rPr>
      <t>裳,纯衣, 缁带，</t>
    </r>
    <r>
      <rPr>
        <sz val="11"/>
        <color theme="1"/>
        <rFont val="宋体"/>
        <charset val="134"/>
      </rPr>
      <t>韎韐</t>
    </r>
    <r>
      <rPr>
        <sz val="11"/>
        <color theme="1"/>
        <rFont val="方正粗黑宋简体"/>
        <charset val="134"/>
      </rPr>
      <t>”。郑玄注“云其色赤而微黑，如爵头然,或谓之</t>
    </r>
    <r>
      <rPr>
        <sz val="11"/>
        <color theme="1"/>
        <rFont val="宋体"/>
        <charset val="134"/>
      </rPr>
      <t>緅</t>
    </r>
    <r>
      <rPr>
        <sz val="11"/>
        <color theme="1"/>
        <rFont val="方正粗黑宋简体"/>
        <charset val="134"/>
      </rPr>
      <t>者,七入为缁，若以</t>
    </r>
    <r>
      <rPr>
        <sz val="11"/>
        <color theme="1"/>
        <rFont val="宋体"/>
        <charset val="134"/>
      </rPr>
      <t>纁</t>
    </r>
    <r>
      <rPr>
        <sz val="11"/>
        <color theme="1"/>
        <rFont val="方正粗黑宋简体"/>
        <charset val="134"/>
      </rPr>
      <t>入黑则为绀，以绀入黑则为</t>
    </r>
    <r>
      <rPr>
        <sz val="11"/>
        <color theme="1"/>
        <rFont val="宋体"/>
        <charset val="134"/>
      </rPr>
      <t>緅</t>
    </r>
    <r>
      <rPr>
        <sz val="11"/>
        <color theme="1"/>
        <rFont val="方正粗黑宋简体"/>
        <charset val="134"/>
      </rPr>
      <t>,是三入赤再入黑,故云其色赤而微黑也。云如爵头然者……赤多黑少，故以爵头为喻也”。爵弁,这种顶戴是赤多黑少的雀头颜色。</t>
    </r>
    <r>
      <rPr>
        <sz val="11"/>
        <color theme="1"/>
        <rFont val="宋体"/>
        <charset val="134"/>
      </rPr>
      <t>緅</t>
    </r>
    <r>
      <rPr>
        <sz val="11"/>
        <color theme="1"/>
        <rFont val="方正粗黑宋简体"/>
        <charset val="134"/>
      </rPr>
      <t>,这里说是在绛色的染料里入三次,然后在黑色的染料里入两次，等同爵头色,赤多黑少。（一赤</t>
    </r>
    <r>
      <rPr>
        <sz val="11"/>
        <color theme="1"/>
        <rFont val="宋体"/>
        <charset val="134"/>
      </rPr>
      <t>縓</t>
    </r>
    <r>
      <rPr>
        <sz val="11"/>
        <color theme="1"/>
        <rFont val="方正粗黑宋简体"/>
        <charset val="134"/>
      </rPr>
      <t>，二赤</t>
    </r>
    <r>
      <rPr>
        <sz val="11"/>
        <color theme="1"/>
        <rFont val="宋体"/>
        <charset val="134"/>
      </rPr>
      <t>赪</t>
    </r>
    <r>
      <rPr>
        <sz val="11"/>
        <color theme="1"/>
        <rFont val="方正粗黑宋简体"/>
        <charset val="134"/>
      </rPr>
      <t>, 三赤</t>
    </r>
    <r>
      <rPr>
        <sz val="11"/>
        <color theme="1"/>
        <rFont val="宋体"/>
        <charset val="134"/>
      </rPr>
      <t>纁</t>
    </r>
    <r>
      <rPr>
        <sz val="11"/>
        <color theme="1"/>
        <rFont val="方正粗黑宋简体"/>
        <charset val="134"/>
      </rPr>
      <t xml:space="preserve">;四赤朱; </t>
    </r>
    <r>
      <rPr>
        <sz val="11"/>
        <color theme="1"/>
        <rFont val="宋体"/>
        <charset val="134"/>
      </rPr>
      <t>纁</t>
    </r>
    <r>
      <rPr>
        <sz val="11"/>
        <color theme="1"/>
        <rFont val="方正粗黑宋简体"/>
        <charset val="134"/>
      </rPr>
      <t>+黑=绀;绀+黑=</t>
    </r>
    <r>
      <rPr>
        <sz val="11"/>
        <color theme="1"/>
        <rFont val="宋体"/>
        <charset val="134"/>
      </rPr>
      <t>緅</t>
    </r>
    <r>
      <rPr>
        <sz val="11"/>
        <color theme="1"/>
        <rFont val="方正粗黑宋简体"/>
        <charset val="134"/>
      </rPr>
      <t xml:space="preserve">; </t>
    </r>
    <r>
      <rPr>
        <sz val="11"/>
        <color theme="1"/>
        <rFont val="宋体"/>
        <charset val="134"/>
      </rPr>
      <t>緅</t>
    </r>
    <r>
      <rPr>
        <sz val="11"/>
        <color theme="1"/>
        <rFont val="方正粗黑宋简体"/>
        <charset val="134"/>
      </rPr>
      <t>+黑=玄。玄+黑=缁（黑））周代男子20岁成年，择吉日、行嘉礼，礼仅的一个重要环节是加冠三次,所以称为冠礼;男子的成人标志就是加冠。第一次加缁色布冠,穿玄色的衣袭,象征具备负担衣食的能力;第二次加皮弁,是白鹿皮制的瓜皮形帽,穿素白色的衣裳,象征擅武;第三次加爵弁,是</t>
    </r>
    <r>
      <rPr>
        <sz val="11"/>
        <color theme="1"/>
        <rFont val="宋体"/>
        <charset val="134"/>
      </rPr>
      <t>緅</t>
    </r>
    <r>
      <rPr>
        <sz val="11"/>
        <color theme="1"/>
        <rFont val="方正粗黑宋简体"/>
        <charset val="134"/>
      </rPr>
      <t>色(爵头色)布制的冕形制帽,穿黑色丝质上衣、</t>
    </r>
    <r>
      <rPr>
        <sz val="11"/>
        <color theme="1"/>
        <rFont val="宋体"/>
        <charset val="134"/>
      </rPr>
      <t>纁</t>
    </r>
    <r>
      <rPr>
        <sz val="11"/>
        <color theme="1"/>
        <rFont val="方正粗黑宋简体"/>
        <charset val="134"/>
      </rPr>
      <t>色下裳,赤黄色的蔽膝,象征能文。 孔子推崇的周礼,重视男子成年对于家族、社会的重大意义,所以礼仅也是如此隆重,戴爵头色冠的这套礼展已经够得上高级副——祭祀等级了。</t>
    </r>
  </si>
  <si>
    <t>麒麟竭</t>
  </si>
  <si>
    <t>树脂生血色，赤胶出南国。粤台地区多年生藤本植物,其树脂凝结如血色，可入药。苏颂《本草图经》云“(麒麟 竭)其脂液从木中流出,滴下如胶状，久而坚凝,乃成赤竭,作血色，故亦谓之血竭”。《一统志》云“血竭树,略如没药树,其肌赤色，采法亦于树下掘坎,斧伐其树,脂流于坎,旬日取之，多出大食诸国，今人试之，以透指甲者为真”。</t>
  </si>
  <si>
    <t>粉白</t>
  </si>
  <si>
    <t>用米粉来美白肌肤,故粉为白色。《楚辞》中写道:粉白黛黑,施芳泽只。后粉增至多种色彩，今多指粉红色。</t>
  </si>
  <si>
    <t>淡米粉</t>
  </si>
  <si>
    <t>荷花白</t>
  </si>
  <si>
    <t>“池静荷花白，台空杏子黄。”色像荷花而白中微
黄，或称莲瓣白。喻示荷花“出淤泥而不染，濯清涟而不妖”的品格。</t>
  </si>
  <si>
    <t>落英淡粉</t>
  </si>
  <si>
    <t>米色</t>
  </si>
  <si>
    <t>初桃粉红</t>
  </si>
  <si>
    <t>介壳淡粉红</t>
  </si>
  <si>
    <t>润红</t>
  </si>
  <si>
    <t>十样锦</t>
  </si>
  <si>
    <t>出名的传统色衍生品，除了蜀笺还有蜀锦,十样锦从锦名到色名,正是中国传统色的成形过程。戚辅之《佩轩楚客谈》载“(后蜀)孟氏在蜀时制十样锦,名长安竹、天下乐、雕团、宜男、宝界地、方胜、狮团、象眼、八搭韵、铁梗衰荷”。蜀地贡锦受官廷贵妇的青睐，其中特别的红色品种渐渐成了十样锦的颜色标准,后薛涛制笺也用草木染出这种颜色。</t>
  </si>
  <si>
    <t>藕荷/藕合</t>
  </si>
  <si>
    <r>
      <rPr>
        <sz val="11"/>
        <color theme="1"/>
        <rFont val="方正粗黑宋简体"/>
        <charset val="134"/>
      </rPr>
      <t>染材苏枋木因树木中含有红色素，可染纤维，为重要的红色染料，在亚洲利用它来漂染织物已有数干年的历史。藕合色是指用苏枋木染色素加入催媒剂后所染出的颜色，因色泽近莲藕色而得名，为固有色名。
属灌木或乔木的苏枋是热带性植物，原产于我国南方及东南亚一带，印度尼西亚是南洋的苏枋木重要产地，古代波斯亦从南洋诸国引进苏枋作为布料染材。因苏枋具有经济效益，据传古代南海一带海盗横行，专门从波斯的商船中抢掠苏枋木材，并加以囤积待价而沽。苏枋除了是布帛染红色的重要染材外，还可以借由不同的催媒剂分别染出不同颜色的织物，在明代出版的《天工开物》中有这样的说明:“紫色:苏木为地、青矾尚之……天青色:入靛缸浅染,苏木水盖。葡萄青色:入靛缸深染，苏木水深盖。”文中的青矾为含硫酸铁的矿石，做媒染剂使用;靛即蓝靛。若以“苏木水薄染，入莲子壳，青矾水薄盖”，即能染出像莲藕的浅褐紫色衣物。藕合色是历代庶民均可穿着的民间衣色,又是昔日僧侣袈裟的常用服色,在佛教中属杂色。</t>
    </r>
    <r>
      <rPr>
        <sz val="11"/>
        <color theme="0" tint="-0.499984740745262"/>
        <rFont val="方正粗黑宋简体"/>
        <charset val="134"/>
      </rPr>
      <t>藕荷色：浅紫而略带红的颜色</t>
    </r>
  </si>
  <si>
    <t>扶光</t>
  </si>
  <si>
    <t>语出谢庄《月赋》“日以阳德，月以阴灵。擅扶光于东沼,嗣若英于西冥”。扶光,扶桑之光也。即日光。扶桑浴东海之光色,正是日出东方,如粉嫩的婴儿,如初见的少女。</t>
  </si>
  <si>
    <t>瓜瓤粉</t>
  </si>
  <si>
    <t>蛋壳黄</t>
  </si>
  <si>
    <t>淡藏花红</t>
  </si>
  <si>
    <t>海天霞</t>
  </si>
  <si>
    <t>“雨霁轻霞漾海波”，官人偏爱这种淡红里衣,加罩更薄的青绿纱罗,两层织物内外掩映,瑟瑟波纹衬海霞,层次感就出来了。明代内织染局染出名为“海天霞”的罗,官人裁做春服里衣。《官词》咏“烂漫花棚锦绣窠,海天霞色上轻罗。斗鸡打马消长昼,一半春光戏里过”。海天霞,这是明代官廷染色的一种色名。《酌中志》是明代宦官刘若愚创作的宫闱秘闻笔记，提到“海天霞，内织造局所造新色也，似白而微红”，并且有诗描述“局官呈进夏前罗，雨雾轻霞漾海波”。 海天霞是官人春季打底内衣，面料和配色是有讲究的:“用天青竹绿花纱罗当青素衬,以海天霞色淡红里衣内外掩映，望之如波纹木理焉。”淡红配青绿，这是一种出视觉效果的红绿配，加上面料是轻罗，穿在身上如同“瑟瑟波纹衬海霞”,海天霞名副其实。</t>
  </si>
  <si>
    <t>骍刚</t>
  </si>
  <si>
    <t>赤色公牛，与之相对“白牡”是白色公牛，二者都是王侯祭祀所选之牛色。《周礼·地言·草人》日“凡粪种，骍刚用牛，赤缇用羊”。这里,骍刚是赤黄色的土壤。《诗经·鲁颂·閟官》曰“秋而载尝,夏而福衡,白牡驻刚”。这里,骍刚是赤黄色的公牛。</t>
  </si>
  <si>
    <t>肉色</t>
  </si>
  <si>
    <t>玫瑰粉</t>
  </si>
  <si>
    <t>蜜黄</t>
  </si>
  <si>
    <t>九斤黄</t>
  </si>
  <si>
    <t>《清官鸟谱》生动有趣,绘形绘色,不仅有油葫芦,还有九斤黄。《清宫鸟谱》载“(越鸡）赤黄项……此种出江南太仓、上海诸处。越鸡之最大者,其重有至九斤,俗亦名九斤黄”。《南汇县志杂志卷十五》载“鸡产浦东者大,有九斤黄、黑十二之名”。</t>
  </si>
  <si>
    <t>檀唇</t>
  </si>
  <si>
    <t>唇脂檀色,香闺妆色。浅蓝的衣、杏黄的裙,与檀色的唇膏搭不搭?</t>
  </si>
  <si>
    <t>朱颜酡</t>
  </si>
  <si>
    <r>
      <rPr>
        <sz val="11"/>
        <color theme="1"/>
        <rFont val="方正粗黑宋简体"/>
        <charset val="134"/>
      </rPr>
      <t>语出《楚辞·招魂》“美人既醉,朱颜酡些”。不知美人既醉还是欲醉，面色已是如此，醉与不醉，在你不在酒。</t>
    </r>
    <r>
      <rPr>
        <sz val="11"/>
        <color theme="0" tint="-0.349986266670736"/>
        <rFont val="方正粗黑宋简体"/>
        <charset val="134"/>
      </rPr>
      <t>酡颜：饮酒脸红的样子。亦泛指脸红色</t>
    </r>
  </si>
  <si>
    <t>野蔷薇红</t>
  </si>
  <si>
    <t>鲑鱼红</t>
  </si>
  <si>
    <t>瓜瓤红</t>
  </si>
  <si>
    <t>海螺橙</t>
  </si>
  <si>
    <t>赪霞</t>
  </si>
  <si>
    <t>霞光之色，若玉人之羞涩娇烧，若生命之花蕊初绽。《尔雅》日“一染谓之源,再染谓之赪,三染谓之纁”。江淹《齐太祖高皇帝诔》曰“赪霞拂朝,苍烟懵夕”。日出日落，赦色之霞,轻红烂漫。</t>
  </si>
  <si>
    <t>玳瑁黄</t>
  </si>
  <si>
    <t>金莺黄</t>
  </si>
  <si>
    <t>椒房</t>
  </si>
  <si>
    <t>应劭《汉宫仪》日“皇后称椒房”。《通典》曰“以椒涂室,亦取温暖除恶气也”。自皇后的闺房色,花椒和泥做内饰,在香料宝贵的古代是不得了的娇贵。椒房，汉代皇后居住的温室墙壁颜色。东汉学者应劭在《汉宫仪》里记叙:“皇后称椒房,取其实蔓延盈升，以椒涂室，亦取其温暖。”椒房殿，属于西汉长安未央宫建筑群，以花椒和黄泥土涂抹墙壁,这种红椒和黄土的混合,不仅带来浅橘色的暖色视觉、而且起到类似砂浆的保温效果。椒房有多子多孙的寓意，还有驱虫防蛀的功效,这都是爱护皇后的善意。椒房后来专指娇贵、尊宠的女性。</t>
  </si>
  <si>
    <t>榴萼黄</t>
  </si>
  <si>
    <r>
      <rPr>
        <sz val="11"/>
        <color theme="1"/>
        <rFont val="宋体"/>
        <charset val="134"/>
      </rPr>
      <t>赪</t>
    </r>
    <r>
      <rPr>
        <sz val="11"/>
        <color theme="1"/>
        <rFont val="方正粗黑宋简体"/>
        <charset val="134"/>
      </rPr>
      <t>尾</t>
    </r>
  </si>
  <si>
    <r>
      <rPr>
        <sz val="11"/>
        <color theme="1"/>
        <rFont val="方正粗黑宋简体"/>
        <charset val="134"/>
      </rPr>
      <t>鱼尾之赤色，青狡潭上老,</t>
    </r>
    <r>
      <rPr>
        <sz val="11"/>
        <color theme="1"/>
        <rFont val="宋体"/>
        <charset val="134"/>
      </rPr>
      <t>赪</t>
    </r>
    <r>
      <rPr>
        <sz val="11"/>
        <color theme="1"/>
        <rFont val="方正粗黑宋简体"/>
        <charset val="134"/>
      </rPr>
      <t>尾溪前肥,田园风光，美味佳肴。语出《诗经·周南·汝坟》“鲂鱼赪尾，王室如毁”。毛传“赪,赤也，鱼劳则尾赤”。</t>
    </r>
  </si>
  <si>
    <t>晨曦红</t>
  </si>
  <si>
    <t>凋叶棕</t>
  </si>
  <si>
    <t>法螺红</t>
  </si>
  <si>
    <t>软木黄</t>
  </si>
  <si>
    <t>缙云</t>
  </si>
  <si>
    <r>
      <rPr>
        <sz val="11"/>
        <color theme="1"/>
        <rFont val="方正粗黑宋简体"/>
        <charset val="134"/>
      </rPr>
      <t>黄帝命名春官为青云,夏官为缙云,春青夏赤是五正色系统的说法,缙是很重要的基本传统色。北色如霞映流云,南方色相。史游《急就篇》曰“蒸栗绢绀缙红</t>
    </r>
    <r>
      <rPr>
        <sz val="11"/>
        <color theme="1"/>
        <rFont val="宋体"/>
        <charset val="134"/>
      </rPr>
      <t>繎</t>
    </r>
    <r>
      <rPr>
        <sz val="11"/>
        <color theme="1"/>
        <rFont val="方正粗黑宋简体"/>
        <charset val="134"/>
      </rPr>
      <t>，青绮绫</t>
    </r>
    <r>
      <rPr>
        <sz val="11"/>
        <color theme="1"/>
        <rFont val="宋体"/>
        <charset val="134"/>
      </rPr>
      <t>縠</t>
    </r>
    <r>
      <rPr>
        <sz val="11"/>
        <color theme="1"/>
        <rFont val="方正粗黑宋简体"/>
        <charset val="134"/>
      </rPr>
      <t>靡润
鲜”。颜师古注“缙,浅赤色”。</t>
    </r>
  </si>
  <si>
    <t>小红</t>
  </si>
  <si>
    <t>浅云小，甚雅致，《居家必用事类全集》叙述其染法甚详尽,这是比较容易复原的中国传统色。《居家必用事类全集》云“染小红,以练物帛十两为率。苏木四两,黄丹一两,槐花一两炒香研末,明矾一两为细末。先将槐花炒香碾细,用净水二升,熬一升之上,滤去滓，下白矾末些子搅匀,下入沸汤一碗化开。下黄绢帛浸半时许。先将苏木,用水两碗,熬至一碗之上，滤去滓,将汁顿起,留头汁。再入水一碗半,煎至八分一碗,滤去滓,再与头汁相和。别顿起将滓再入水二碗,煎至一碗,滤去滓,与第二汁相合。下黄丹在二汁内搅匀，下入黄帛提转令匀，浸片时扭起。将头汁温热,下染出帛,急手提转。浸半时许,可提转五七次,扭起颜色鲜红可爱”。</t>
  </si>
  <si>
    <t>橘黄</t>
  </si>
  <si>
    <t>橘黄：柑橘的黄色。</t>
  </si>
  <si>
    <t>杏红</t>
  </si>
  <si>
    <t>杏红：成熟杏子偏红色的一种颜色。</t>
  </si>
  <si>
    <t>琼琚</t>
  </si>
  <si>
    <r>
      <rPr>
        <sz val="11"/>
        <color theme="1"/>
        <rFont val="方正粗黑宋简体"/>
        <charset val="134"/>
      </rPr>
      <t>孔颖达讲,琼琚这个词中的琼不是玉名本义,而是美玉的意思,琼的玉名本义是丹砂色的红玉。古玉色之一种。《诗经·卫风·木瓜》曰“投我以木瓜，报之以琼琚”。陈性《玉纪》曰“玉有九色，元如澄水曰</t>
    </r>
    <r>
      <rPr>
        <sz val="11"/>
        <color theme="1"/>
        <rFont val="宋体"/>
        <charset val="134"/>
      </rPr>
      <t>瑿</t>
    </r>
    <r>
      <rPr>
        <sz val="11"/>
        <color theme="1"/>
        <rFont val="方正粗黑宋简体"/>
        <charset val="134"/>
      </rPr>
      <t>,蓝如靛沫曰碧,青如苔藓曰</t>
    </r>
    <r>
      <rPr>
        <sz val="11"/>
        <color theme="1"/>
        <rFont val="宋体"/>
        <charset val="134"/>
      </rPr>
      <t>㻶</t>
    </r>
    <r>
      <rPr>
        <sz val="11"/>
        <color theme="1"/>
        <rFont val="方正粗黑宋简体"/>
        <charset val="134"/>
      </rPr>
      <t>，绿如翠羽曰</t>
    </r>
    <r>
      <rPr>
        <sz val="11"/>
        <color theme="1"/>
        <rFont val="宋体"/>
        <charset val="134"/>
      </rPr>
      <t>瓐</t>
    </r>
    <r>
      <rPr>
        <sz val="11"/>
        <color theme="1"/>
        <rFont val="方正粗黑宋简体"/>
        <charset val="134"/>
      </rPr>
      <t>，黄如蒸栗曰</t>
    </r>
    <r>
      <rPr>
        <sz val="11"/>
        <color theme="1"/>
        <rFont val="宋体"/>
        <charset val="134"/>
      </rPr>
      <t>玵</t>
    </r>
    <r>
      <rPr>
        <sz val="11"/>
        <color theme="1"/>
        <rFont val="方正粗黑宋简体"/>
        <charset val="134"/>
      </rPr>
      <t>，赤如丹砂日琼,紫如凝血曰</t>
    </r>
    <r>
      <rPr>
        <sz val="11"/>
        <color theme="1"/>
        <rFont val="宋体"/>
        <charset val="134"/>
      </rPr>
      <t>璊</t>
    </r>
    <r>
      <rPr>
        <sz val="11"/>
        <color theme="1"/>
        <rFont val="方正粗黑宋简体"/>
        <charset val="134"/>
      </rPr>
      <t>，黑如墨光曰</t>
    </r>
    <r>
      <rPr>
        <sz val="11"/>
        <color theme="1"/>
        <rFont val="宋体"/>
        <charset val="134"/>
      </rPr>
      <t>瑎</t>
    </r>
    <r>
      <rPr>
        <sz val="11"/>
        <color theme="1"/>
        <rFont val="方正粗黑宋简体"/>
        <charset val="134"/>
      </rPr>
      <t>，白如割肪曰</t>
    </r>
    <r>
      <rPr>
        <sz val="11"/>
        <color theme="1"/>
        <rFont val="宋体"/>
        <charset val="134"/>
      </rPr>
      <t>瑳</t>
    </r>
    <r>
      <rPr>
        <sz val="11"/>
        <color theme="1"/>
        <rFont val="方正粗黑宋简体"/>
        <charset val="134"/>
      </rPr>
      <t>”。</t>
    </r>
  </si>
  <si>
    <t>蟹壳红</t>
  </si>
  <si>
    <t>橙色</t>
  </si>
  <si>
    <t>橙色：界于红色和黄色之间的混合色。</t>
  </si>
  <si>
    <t>金叶黄</t>
  </si>
  <si>
    <t>淡橘橙</t>
  </si>
  <si>
    <t>北瓜黄</t>
  </si>
  <si>
    <t>芙蓉红</t>
  </si>
  <si>
    <t>草莓红</t>
  </si>
  <si>
    <t>菠萝红</t>
  </si>
  <si>
    <t>桂皮淡棕</t>
  </si>
  <si>
    <t>橙黄</t>
  </si>
  <si>
    <t xml:space="preserve">橙黄：橙的黄色。 </t>
  </si>
  <si>
    <t>枇杷黄</t>
  </si>
  <si>
    <t>黄如成熟的枇杷的颜色。枇杷又名金丸，枇杷成熟时黄似橘，亮如金，十分惹人注目，因而被引作颜色之名。</t>
  </si>
  <si>
    <t>橙皮黄</t>
  </si>
  <si>
    <t>醉瓜肉</t>
  </si>
  <si>
    <t>朱柿</t>
  </si>
  <si>
    <t>怎么说也比我们今天说“柿子红”要雅致，这是古今颜色词的高下。</t>
  </si>
  <si>
    <t>杏子</t>
  </si>
  <si>
    <t>此色出自《西洲曲》“单衫杏子红,双鬓鸦雏色”。杏子黄红,其色如橘。杏子色颇有古意,演进到清代,杏黄色就是皇家禁色了，清代太子杏黄服色和日本皇储黄丹服色相近。杏黄，杏子微微发红的黄色。清代戏曲家李斗的《扬州画舫录》中说:“杏黄、江黄即丹黄，亦日缇，为古兵服。”《通雅》讲:“丹黄日缇。”缇就是发红的黄色,丹黄、杏黄、江黄都是这个颜色,江黄疑似是姜黄的误笔。 发红的黄色,如果红不多，则是杏黄:如果红更多一些，则是金杏，金杏在清代官方被称作金黄。清代医学家赵学敏的《凤仙谱》中描述金杏的颜色是:“杏黄带浅红,乃赭、朱二色和合而成。”杏黄、金黄,在清代都是皇家标识色,杏黄为太子所用,金黄为皇子所用。 清代《皇朝礼器图式》记载:“皇太子龙袍色用杏黄”“皇太子妃龙袍色用杏黄”“皇太子端罩黑狐为之杏黄缎里”“皇太子冬朝服色用杏黄披领”“皇太子夏朝服色用杏黄披领”“皇太子妃冬朝袍色用杏黄”“皇太子妃夏朝袍色用杏黄”。 清代以前,杏黄色除了军服，也是民间常用色彩、并无禁忌。</t>
  </si>
  <si>
    <t>杏黄</t>
  </si>
  <si>
    <t xml:space="preserve">255,166,49 </t>
  </si>
  <si>
    <r>
      <rPr>
        <sz val="11"/>
        <color theme="1"/>
        <rFont val="方正粗黑宋简体"/>
        <charset val="134"/>
      </rPr>
      <t>也称“柘黄”“赤黄”,指黄而微红的颜色，如熟
透的杏子。曾是古代最为尊贵的颜色之一。隋唐开
始，皇帝尚黄，杏黄是最早被选做龙袍的颜色。</t>
    </r>
    <r>
      <rPr>
        <sz val="11"/>
        <color theme="0" tint="-0.499984740745262"/>
        <rFont val="方正粗黑宋简体"/>
        <charset val="134"/>
      </rPr>
      <t>杏黄：成熟杏子的黄色。</t>
    </r>
  </si>
  <si>
    <t>红友</t>
  </si>
  <si>
    <t>其色出自古代宜兴出产的红友酒。宜兴酒色,与关中、川中不同,是另一番模样,东坡爱此酒。</t>
  </si>
  <si>
    <t>美人焦橙</t>
  </si>
  <si>
    <t>雄黄</t>
  </si>
  <si>
    <t>岱赭</t>
  </si>
  <si>
    <t>姜思序堂的颜料铺子依然有售,传之有序。中国画传统颜料色,出产自灵州,今宁夏灵武境内。李林甫《唐六典·户部尚书》曰“一曰关内道,古雍州之境,今京兆、华、同、岐、邠、陇、泾、宁、坊、鄜、丹、延、庆、盐、原、会、灵、夏、丰、胜、绥、银,凡二十有二州焉……厥赋绢、绵、布、麻。厥贡岱赭、盐山、角弓、龙须席、苁蓉、野马皮、麝香”。</t>
  </si>
  <si>
    <t>苕荣</t>
  </si>
  <si>
    <t>又称陵苕、凌霄、紫葳。语出《史记·赵世家》“美人荧荧兮,颜若苕之荣”。凌霄花色也是美人的颜色，微风招摇，映日耀目，生得一副好颜色。</t>
  </si>
  <si>
    <t>丹</t>
  </si>
  <si>
    <t>235，110，59</t>
  </si>
  <si>
    <r>
      <rPr>
        <sz val="11"/>
        <color theme="1"/>
        <rFont val="方正粗黑宋简体"/>
        <charset val="134"/>
      </rPr>
      <t>汉字“丹”的本义为丹砂、朱砂，指古代巴越地区出产的赤石（即辰砂)。古籍《山海经》中说“丹以赤为主”，丹色的色相是红中带黄，近赤色，归纳在传统的赤色系列，在上古神话中，火凤凰居住的巢穴就称丹穴。
丹砂及其色彩在道教中亦占有重要地位。古代术士为求长生不老药，把从朱砂等矿物中淬炼出的提纯物称为丹;而道教中人称神仙境界为丹立，神仙的居所叫丹台。丹亦指用朱红色涂绘的物品:“以朱色涂物曰丹。”(《博物志》）古代以颜色区分阶级及社会地位，朱红色是周代皇帝与贵族的专用色，丹诏是皇帝的诏书，皇帝的御驾称丹跸，丹书铁券是皇帝颁给功臣使其后代有免罪特权的诏书，丹禁是指天子所居住的、漆成朱红色的禁城。
丹亦可解释为染成红色，例如《新唐书》中说:“杀卒四万，血丹野。”意即歼灭敌军四万之众，以致鲜血遍染草野。在战国时期，魏国规定犯轻罪者以丹布包头以资识别。丹红色到了唐代则是代表艳丽高贵的女服色彩。丹又可指代朱红色，因古时常用朱红色及青色入画，故又称画为“丹青”。而丹枫是指在秋天转变成橘红色的枫叶，充满诗情画意。
丹红色在古代也象征高尚的情操与爱国的情怀，例如丹心与丹诚通常指对国家的忠贞，带有“烈士”的色彩。文天祥“留取丹心照汗青”(《正气歌》）。</t>
    </r>
    <r>
      <rPr>
        <sz val="11"/>
        <color theme="9" tint="-0.499984740745262"/>
        <rFont val="方正粗黑宋简体"/>
        <charset val="134"/>
      </rPr>
      <t>偏黄的红色。《说文解字》解释为“巴越之赤石也”。清人姚鼎《登泰山记》有“日上正赤如丹’之语。</t>
    </r>
    <r>
      <rPr>
        <sz val="11"/>
        <color theme="0" tint="-0.499984740745262"/>
        <rFont val="方正粗黑宋简体"/>
        <charset val="134"/>
      </rPr>
      <t>丹：丹砂的鲜艳红色</t>
    </r>
  </si>
  <si>
    <t>橘橙</t>
  </si>
  <si>
    <t>暮色</t>
  </si>
  <si>
    <r>
      <rPr>
        <sz val="11"/>
        <color theme="1"/>
        <rFont val="方正粗黑宋简体"/>
        <charset val="134"/>
      </rPr>
      <t>暮的古字作“莫”，形容太阳落在平原草丛中，表示天将晚的意思。《说文解字》曰:“莫，日且冥也。从日，在草中。”冥为黑暗之意。而暮色是指天色随着太阳下山，从蓝天渐变成橘红色天空，是日夜交接间令人赞叹的大自然景象之一。暮色虽然美丽动人，但又被古人用以比照人生中如日之将尽的老年景况,表达了时不我与的惋惜之情,例如“吾日暮涂远”(《史记·伍子胥传》)。垂暮之年是比喻人到老年;暮齿指晚年,暮春则指晚春;而迟暮是形容年华将逝的美人，例如“恐美人之迟暮”（战国屈原《离骚》）。被纳入红彤彤的赤色系列中的暮色，却不如其他色阶的红色调来得充满活力、朝气与幸福感。呈橘红的暮色常被借喻为—种情绪复杂与矛盾的心理颜色,而用“暮气沉沉”来表示人了无生气，应该是这种自然色泽的最佳写照。</t>
    </r>
    <r>
      <rPr>
        <sz val="11"/>
        <color theme="9" tint="-0.499984740745262"/>
        <rFont val="方正粗黑宋简体"/>
        <charset val="134"/>
      </rPr>
      <t>落日时的天色,微带橘红。暮色晚景在古代文人笔下，总带有惋惜、无奈的情感色彩。唐人李嘉</t>
    </r>
    <r>
      <rPr>
        <sz val="11"/>
        <color theme="9" tint="-0.499984740745262"/>
        <rFont val="宋体"/>
        <charset val="134"/>
      </rPr>
      <t>祐</t>
    </r>
    <r>
      <rPr>
        <sz val="11"/>
        <color theme="9" tint="-0.499984740745262"/>
        <rFont val="方正粗黑宋简体"/>
        <charset val="134"/>
      </rPr>
      <t>有“暮色催人别，秋风待雨寒”之句。</t>
    </r>
  </si>
  <si>
    <t>风帆黄</t>
  </si>
  <si>
    <t>金黄</t>
  </si>
  <si>
    <t>238，204，0</t>
  </si>
  <si>
    <t>金黄色是一种显露金属光泽及呈微红的暖黄色，多用来指黄金的颜色，《说文解字》曰:“金:五色金也，黄为之长。”五色是指黄金、白银、赤铜、青铅、黑铁，亦即传统上的五金。金黄色自古即是象征富贵、华丽、辉煌、财富、权势及宗教的色彩。
在上古时期的神话中，澄黄炙热的太阳称为金乌。旧时的道教方士相信吃金与用金可长生不老。炼丹术士先从丹砂中提炼出黄金，再将黄金制成金光闪闪的器皿，装盛丰富的食物享用，以为这样就能达到不死的目的。热衷于求仙问道的汉武帝也对此深信不疑，并且下令炼金，这是黄澄澄的金子用来延年益寿的最早记载。而金黄色在服饰上被采用与流行，则主要与西域诸国的来朝贡品与天竺佛教东传有关。在古代来自西方各国的进贡珍品中，以金、银、宝石及珍禽异兽居多。黄金是印度佛教七宝之首，梵文称之为苏伐剌那，意译为“妙色”或“好色”。佛典认为黄金“色无变”“体无染”“令人富”与“转作无碍”，恰好与法身之常、净、乐、我四德相对应，所以佛家崇尚金黄色，把漆成黄色的佛寺称金刹、佛身称金身。据说佛祖显圣时会发出一道道灿烂的万丈金光，另外寺中供奉的佛像喜用金箔裱饰。在《三世因果双世文》中的一句话，或可用来解释世人以金色装点佛像的目的:“今生富贵是何因?前世舍财装佛金。”也因而提升了汉民族与众多善男信女对于金黄色的喜爱与风行。
盛世唐朝是开启金光灿烂辉煌风气的年代。金粉是唐代敦煌壁画上的颜料用色。而唐人对仪容外貌的装点及衣饰打扮极为讲究，从头饰、腰饰、首饰、脚上穿的鞋，到金丝织成的各式华丽服饰，全都是金光闪闪、灿丽夺目。炫耀奢华的时尚风气到了宋代开始受到干扰，1014年宋真宗下诏禁止民间使用金饰:“大中祥符七年，禁民间服锁金……”(《宋史·舆服志》）希望社会能回归纯朴简约的风气。但禁归禁,原本代表富贵荣华的金子，却仍一直引领风骚，从未间断过。而闪亮耀目的黄金色泽依旧风行至今，其代表时尚与贵重的观念仍丝毫未改。</t>
  </si>
  <si>
    <t>万寿菊黄</t>
  </si>
  <si>
    <t>如橙黄万寿菊花一样的颜色，温暖饱满。万寿菊花可以提取出丰富的黄色素,用于为食物着色。</t>
  </si>
  <si>
    <t>余烬红</t>
  </si>
  <si>
    <t>萱草色</t>
  </si>
  <si>
    <t>萱草花色黄中含红,近橘色，属暖调黄色，在古代曾分别是时尚流行色和拥有思念母亲含义的色彩。
萱草古名藜芦、谖草，为多年生百合科草本植物，原产于我国南方。蓝草叶子呈条状披针形，夏秋间开花,花冠呈漏斗状，可供观赏和食用，亦称“金针花”，是闽、粤传统家常菜中常用的食材。萱草还称“忘忧草”,但与西方所称的忘忧草不一样，《毛诗》说:“谖草，令人忘忧。”古人相信吃萱草能令人忘掉离别亲人的忧伤:“对萱草兮忧不忘,弹鸣琴兮情何伤。”(汉朝蔡琰《胡茄十八拍》）自唐代起，诗人也有借萱草表达对远方至亲怀念之情的诗句:“使君竟不住，萱桂徒栽种。桂有留人名，萱无忘忧用。不如江畔月，步步来相送。”(白居易《别萱桂》)萱草亦代表母亲对远行儿女的思念，《诗经·卫风·伯兮》曰:“焉得谖草，言树之背。”谖草即萱草。树指种植。背，据《毛传》解释为“北堂也”。古制家中北堂为主妇的卧室，旧时凡要出远门的游子，都习惯在母亲的住处外种上萱草，以表示抚慰娘亲思念自己的心情，而萱草的花色就象征着慈母温情牵挂的颜色。后来萱室、萱堂及慈萱都指母亲的居所，以及借指母亲。古人又称父亲为椿庭，椿即山茶花树，成语“椿萱并茂”即是借椿萱花叶茂盛来比喻父母健康。
萱草的橘黄花色在唐代是时尚流行色，与石榴红色配搭出艳丽的唐朝色彩,故有“眉黛夺将萱草色,红裙妒杀石榴花”(唐朝万楚《五日观妓》)的诗句。而新鲜或干燥的金针花则仍是当下餐桌上的常见食材之一。</t>
  </si>
  <si>
    <t>金莲花橙</t>
  </si>
  <si>
    <t>龙睛鱼红</t>
  </si>
  <si>
    <t>牙绯</t>
  </si>
  <si>
    <t>牙绯,指牙笏与绯服之合称。绯色是官色，牙笏与绯服是唐朝人的成功标志,赐绯如同白日梦，借绯也要挤进去。唐代服色制度几经变革,到了唐高宗时的规定是:文武三品以上服紫，四品服深绯，五品服浅绯，六品服深绿，七品服浅绿，八品服深青，九品服浅青。笏同样是有等级的:“象笏,上圆下方;六品以竹木，上挫下方。”唐代六品以上才能手持象牙朝笏。唐代诗人白居易是服色等级的热衷者，他的诗里随处可见对服色的咏叹。元和十三年（818年）十二月,白居易到忠州任刺史,刺史是要穿绯袍的，他喜不自禁，写下《初着刺史绯答友人见赠》:“徒使花袍红似火,其如蓬鬓白成丝。” 其实，任忠州刺史时，白居易尚未进入五品官阶,但刺史有穿绯袍的特权:“凡授都督、刺史阶未入五品者,并听着绯珮鱼，离任则停。”白居易这次穿绯袍算是“借绯”，离任时就不能穿了。元和十五年（820年）夏天，白居易被召还京城任员外郎，就只好再把青袍穿上,他还因此写了《初除尚书郎脱刺史绯》:“便留朱绂还铃阁,却着青袍侍玉除。”</t>
  </si>
  <si>
    <t>麂棕</t>
  </si>
  <si>
    <t>金驼</t>
  </si>
  <si>
    <t>燕颔红</t>
  </si>
  <si>
    <t>橘红</t>
  </si>
  <si>
    <t>橘红：柑橘皮所呈现的红色</t>
  </si>
  <si>
    <t>莓酱红</t>
  </si>
  <si>
    <t>媚蝶</t>
  </si>
  <si>
    <t>闺房媚色，着此色衣上此色妆,脱单身,防劈腿,功效大矣。鹤子草所生之蝶,其色赤黄,闺房秘色。嵇含《南方草木状》载“(媚草）上有虫，老蜕为蝶，赤黄色,女子藏之,谓之媚蝶,能致其夫怜爱”。《太平广记》载“鹤子草……南人云是媚草……此草蔓至春生双虫，只食其叶。越女收于妆奁中养之如蚕,摘其草饲之。虫老不食,而蜕为蝶,赤黄色。妇女收而带之,谓之媚蝶”。</t>
  </si>
  <si>
    <t>赤缇</t>
  </si>
  <si>
    <t>？可能再黄点</t>
  </si>
  <si>
    <t>寓意农事的精耕细作,种子生长在红土滋沃的环境,想必后面是丰收景象。语出《周礼·地言司徒·草人》“凡粪种、骍刚用牛、赤缇用羊”。骍刚、赤缇都是土壤状况,粪种是古人根据不同土壤而使用不同粪肥处理种子的耕作方式。
缇的原意是“丹而黄”的帛。</t>
  </si>
  <si>
    <r>
      <rPr>
        <sz val="11"/>
        <color theme="1"/>
        <rFont val="宋体"/>
        <charset val="134"/>
      </rPr>
      <t>赩</t>
    </r>
    <r>
      <rPr>
        <sz val="11"/>
        <color theme="1"/>
        <rFont val="方正粗黑宋简体"/>
        <charset val="134"/>
      </rPr>
      <t>炽</t>
    </r>
  </si>
  <si>
    <t>赤红如火,光亮艳炽。左思《蜀都赋》日“丹沙赩炽出其坂,蜜房郁毓被其阜”。李周翰注“赩炽，赤光,丹砂色也”。今之丹砂色,赤火之光,夏至之炎。</t>
  </si>
  <si>
    <t>檎丹</t>
  </si>
  <si>
    <t>檎丹，指林檎红,也就是红色野苹果的颜色。在日本超市见苹果标名“林檎”，溯源在中国，这次竟寻得这个颜色古称，“檎丹”要比“红苹果色”文雅许多。</t>
  </si>
  <si>
    <t>黄丹</t>
  </si>
  <si>
    <t xml:space="preserve">中国炼丹的神仙色,也是日本储君的服色,既仙且贵。别名铅丹，用铅、硫黄、硝石等矿物合炼而成，丹黄色。其色传至日本，改用红花加栀子的植物染色，沿袭而成日本储君服色。黄丹，来自古代炼丹术合成物质的色名。春秋战国时，因为采矿和冶炼的经验积累，开始出现炼丹的术士，他们声称可以通过秘方获得长生不老的药物或者贵金属。黄丹是术士用铅、硫黄、硝石等合炼而成，所以也叫铅丹。黄丹的颜色是像初升太阳一样的赤黄色。炼丹术是中国古代矿物合成颜料的开始,从春秋战国到秦汉，炼丹术蓬勃发展,合成矿物颜料也随之广泛应用，在今天考古的兵马俑、壁画现场都有印证。南宋道教思想家陈楠留下的炼丹口诀“黄丹胡粉密陀僧，此是嘉州造化能”中，合成的矿物颜料有铅丹（黄丹)、铅白（胡粉)、铅黄（密陀僧）。这些合成颜料，还有银朱等,到今天仍然是中国画常用颜料，苏州姜思序堂还在生产和销售。在日本,黄丹是以栀子加茜草染色的草木染。 </t>
  </si>
  <si>
    <t>棠梨</t>
  </si>
  <si>
    <t>棠梨确实是果子,这里讲颜色说的却是其叶子，而且是干枯后的叶子,不等到最后就看不到最美。《诗经·唐风·林杜》咏“有林之杜,其叶菁菁”。这里的“杜”就是棠梨,其叶又绿又密，干枯后就是红褐色染料。</t>
  </si>
  <si>
    <r>
      <rPr>
        <sz val="11"/>
        <color theme="1"/>
        <rFont val="宋体"/>
        <charset val="134"/>
      </rPr>
      <t>纁</t>
    </r>
    <r>
      <rPr>
        <sz val="11"/>
        <color theme="1"/>
        <rFont val="方正粗黑宋简体"/>
        <charset val="134"/>
      </rPr>
      <t>黄</t>
    </r>
  </si>
  <si>
    <t>？更黑点？</t>
  </si>
  <si>
    <r>
      <rPr>
        <sz val="11"/>
        <color theme="1"/>
        <rFont val="方正粗黑宋简体"/>
        <charset val="134"/>
      </rPr>
      <t>上玄下</t>
    </r>
    <r>
      <rPr>
        <sz val="11"/>
        <color theme="1"/>
        <rFont val="宋体"/>
        <charset val="134"/>
      </rPr>
      <t>纁</t>
    </r>
    <r>
      <rPr>
        <sz val="11"/>
        <color theme="1"/>
        <rFont val="方正粗黑宋简体"/>
        <charset val="134"/>
      </rPr>
      <t>是华夏最神圣的服色,玄为太阳跃出地平线前的天色,</t>
    </r>
    <r>
      <rPr>
        <sz val="11"/>
        <color theme="1"/>
        <rFont val="宋体"/>
        <charset val="134"/>
      </rPr>
      <t>纁</t>
    </r>
    <r>
      <rPr>
        <sz val="11"/>
        <color theme="1"/>
        <rFont val="方正粗黑宋简体"/>
        <charset val="134"/>
      </rPr>
      <t>为太阳跌入地平线时的天色,天地为大,敬畏而已。纁，黄昏的太阳落下地平线时的天色。《楚辞·九章·思美人》咏“指嶓冢之西隈兮,
与纁黄以为期”。王逸注“纁黄,盖黄昏时也。纁,一作曛”。洪兴祖补注“纁，日入余光”。《楚辞·九叹·远逝》咏“举霓旌之墆翳兮,建黄纁之总旄”。王逸注“黄纁,赤黄也”。</t>
    </r>
  </si>
  <si>
    <t>光明砂</t>
  </si>
  <si>
    <t>？莲花色？</t>
  </si>
  <si>
    <t>朱砂之上品,可入画,可入药。意出其色，静心养神,驱邪扶正。正大光明,镇心安神,此乃驱魔扶正之色。李德裕《黄治论》云“光明砂者,天地自然之宝。在石室之间，生雪床之上,如初生芙蓉,红苞未拆”。《大洞炼真宝经修伏灵砂妙诀》云“上品光明砂者,出于辰锦山石之中，白交石床之上,十二枚为一座,生色如未开红莲花，光明耀日”。顾况《曲龙山歌》咏“曲龙丈人冠藕花,其颜色映光明砂”。张君房《云笈七签·七返灵砂论》云“受太阳清通澄朗正真之精气,降结而红光耀耀,名曰光明砂”。</t>
  </si>
  <si>
    <t>槟榔综</t>
  </si>
  <si>
    <t>黄栌</t>
  </si>
  <si>
    <t>226，156，69</t>
  </si>
  <si>
    <r>
      <rPr>
        <sz val="11"/>
        <color theme="1"/>
        <rFont val="方正粗黑宋简体"/>
        <charset val="134"/>
      </rPr>
      <t>黄栌色为黄褐色，色泽来自可染黄的黄栌树皮，色调称黄栌色，是古代纤维织品中常用的实用颜色。黄栌即栌树，属漆树科落叶灌木，树身粗壮，树干呈灰色，每年春夏间开黄绿色小花，叶子在秋天则转成红黄色。北京香山公园即以栌树林立闻名，每到秋季时，栌叶换色，红黄层叠的秋叶景色遍染山头，十分悦目宜人。黄栌树皮可煎汁做布帛染剂，可染出色感稳重的黄褐色，是旧时庶民的惯用服色之一。栌树干木呈黄色，木质结实，为古代建筑用的良材，专门用作承接房屋柱头与栋梁之间的</t>
    </r>
    <r>
      <rPr>
        <sz val="11"/>
        <color theme="1"/>
        <rFont val="宋体"/>
        <charset val="134"/>
      </rPr>
      <t>欂</t>
    </r>
    <r>
      <rPr>
        <sz val="11"/>
        <color theme="1"/>
        <rFont val="方正粗黑宋简体"/>
        <charset val="134"/>
      </rPr>
      <t>栌(即斗拱）。《淮南子·本经》曰:“标栋</t>
    </r>
    <r>
      <rPr>
        <sz val="11"/>
        <color theme="1"/>
        <rFont val="宋体"/>
        <charset val="134"/>
      </rPr>
      <t>欂</t>
    </r>
    <r>
      <rPr>
        <sz val="11"/>
        <color theme="1"/>
        <rFont val="方正粗黑宋简体"/>
        <charset val="134"/>
      </rPr>
      <t>栌，以相支持。”</t>
    </r>
    <r>
      <rPr>
        <sz val="11"/>
        <color theme="1"/>
        <rFont val="宋体"/>
        <charset val="134"/>
      </rPr>
      <t>欂</t>
    </r>
    <r>
      <rPr>
        <sz val="11"/>
        <color theme="1"/>
        <rFont val="方正粗黑宋简体"/>
        <charset val="134"/>
      </rPr>
      <t>即椽子。《说文解字》又说:“栌，柱上</t>
    </r>
    <r>
      <rPr>
        <sz val="11"/>
        <color theme="1"/>
        <rFont val="宋体"/>
        <charset val="134"/>
      </rPr>
      <t>柎</t>
    </r>
    <r>
      <rPr>
        <sz val="11"/>
        <color theme="1"/>
        <rFont val="方正粗黑宋简体"/>
        <charset val="134"/>
      </rPr>
      <t>也。”而“栾栌宏敞,帷</t>
    </r>
    <r>
      <rPr>
        <sz val="11"/>
        <color theme="1"/>
        <rFont val="宋体"/>
        <charset val="134"/>
      </rPr>
      <t>幙</t>
    </r>
    <r>
      <rPr>
        <sz val="11"/>
        <color theme="1"/>
        <rFont val="方正粗黑宋简体"/>
        <charset val="134"/>
      </rPr>
      <t>鲜华”是形容楼宇高大宽敞、布置华美，出自唐人皇甫枚的《三水小牍》。栌木又是古代用来制作器具与家具的实用木料。植物栌树约在16世纪末期即日本桃山时代末年，从我国南方经由琉球(今冲绳岛)传入日本。</t>
    </r>
    <r>
      <rPr>
        <sz val="11"/>
        <color theme="0" tint="-0.499984740745262"/>
        <rFont val="方正粗黑宋简体"/>
        <charset val="134"/>
      </rPr>
      <t>黄栌：一种落叶灌木，花黄绿色,叶子秋天变成红色。木材黄色可做染料。</t>
    </r>
  </si>
  <si>
    <t>洛神珠</t>
  </si>
  <si>
    <r>
      <rPr>
        <sz val="11"/>
        <color theme="1"/>
        <rFont val="方正粗黑宋简体"/>
        <charset val="134"/>
      </rPr>
      <t>亦称绛珠草，酸浆，菇娘。因其果实成熟时玲珑红润，浑圆如珠，故在晋时被长安儿童 呼为“洛神珠”。绛珠草的果实色，绛珠草是《红楼梦》里林妹妹的前身,纳兰性德也夸过这个灵气才女的颜色,“樱唇微绽，</t>
    </r>
    <r>
      <rPr>
        <sz val="11"/>
        <color theme="1"/>
        <rFont val="宋体"/>
        <charset val="134"/>
      </rPr>
      <t>靺鞨</t>
    </r>
    <r>
      <rPr>
        <sz val="11"/>
        <color theme="1"/>
        <rFont val="方正粗黑宋简体"/>
        <charset val="134"/>
      </rPr>
      <t>红殷。故宫事往凭谁问，无恙是朱颜”。</t>
    </r>
  </si>
  <si>
    <t>朱草</t>
  </si>
  <si>
    <t>凤凰和麒麟出场的背景颜色，太平祥瑞,且合于神仙梦,又恨不得做一件此种颜色的时尚吉服了。又名朱英、赪茎。春风至，甘雨降,王者盛德,生此红色瑞草。</t>
  </si>
  <si>
    <t>曙色</t>
  </si>
  <si>
    <r>
      <rPr>
        <sz val="11"/>
        <color theme="1"/>
        <rFont val="方正粗黑宋简体"/>
        <charset val="134"/>
      </rPr>
      <t>“曙”字原义为天亮、晨曦及晨光。曙色是形容旭日初升时，金光万里的阳光色彩，颜色呈红中带黄，或偏橘红色。曙光在仲夏间明朗的天气里，特别绚丽夺目。在近代，曙色亦称为东方红。曙光还代表希望与朝气。曙色亦是国画颜料中的用色之一，在清末西方的洋红色颜料尚未传入前,我国画师大多用赭石或银朱混入白色的蛤壳粉，调和出仿照天然曙光的浓橘红色着色入画。因唐朝国势强大，民风开放自由，女性盛行浓妆艳抹，所以在唐代的卷轴或壁画上，画家及画匠即以上述的人工调成的曙色渲染画中人物的面色，以求达到浓艳的“盛妆”效果。在唐代画家周防/的名作《簪花仕女图》中，画家即用曙色设色，绘出卷中身披绛罗红衣、色彩浓丽的仕女形象。</t>
    </r>
    <r>
      <rPr>
        <sz val="11"/>
        <color theme="9" tint="-0.499984740745262"/>
        <rFont val="方正粗黑宋简体"/>
        <charset val="134"/>
      </rPr>
      <t>橘红色，为破晓时的天色。白居易有“窗引曙色早，庭销春气迟”之句。</t>
    </r>
  </si>
  <si>
    <t>韎韐</t>
  </si>
  <si>
    <r>
      <rPr>
        <sz val="11"/>
        <color theme="1"/>
        <rFont val="方正粗黑宋简体"/>
        <charset val="134"/>
      </rPr>
      <t>掉掉书袋，</t>
    </r>
    <r>
      <rPr>
        <sz val="11"/>
        <color theme="1"/>
        <rFont val="宋体"/>
        <charset val="134"/>
      </rPr>
      <t>韎韐</t>
    </r>
    <r>
      <rPr>
        <sz val="11"/>
        <color theme="1"/>
        <rFont val="方正粗黑宋简体"/>
        <charset val="134"/>
      </rPr>
      <t>与</t>
    </r>
    <r>
      <rPr>
        <sz val="11"/>
        <color theme="1"/>
        <rFont val="宋体"/>
        <charset val="134"/>
      </rPr>
      <t>缊韨</t>
    </r>
    <r>
      <rPr>
        <sz val="11"/>
        <color theme="1"/>
        <rFont val="方正粗黑宋简体"/>
        <charset val="134"/>
      </rPr>
      <t>同是赤黄色的蔽膝，区别在</t>
    </r>
    <r>
      <rPr>
        <sz val="11"/>
        <color theme="1"/>
        <rFont val="宋体"/>
        <charset val="134"/>
      </rPr>
      <t>韎韐</t>
    </r>
    <r>
      <rPr>
        <sz val="11"/>
        <color theme="1"/>
        <rFont val="方正粗黑宋简体"/>
        <charset val="134"/>
      </rPr>
      <t xml:space="preserve">属于靠本事吃饭的士人, </t>
    </r>
    <r>
      <rPr>
        <sz val="11"/>
        <color theme="1"/>
        <rFont val="宋体"/>
        <charset val="134"/>
      </rPr>
      <t>缊韨</t>
    </r>
    <r>
      <rPr>
        <sz val="11"/>
        <color theme="1"/>
        <rFont val="方正粗黑宋简体"/>
        <charset val="134"/>
      </rPr>
      <t>属于靠出身吃饭的贵族。</t>
    </r>
    <r>
      <rPr>
        <sz val="11"/>
        <color theme="1"/>
        <rFont val="宋体"/>
        <charset val="134"/>
      </rPr>
      <t>韎韐</t>
    </r>
    <r>
      <rPr>
        <sz val="11"/>
        <color theme="1"/>
        <rFont val="方正粗黑宋简体"/>
        <charset val="134"/>
      </rPr>
      <t>是用茅</t>
    </r>
    <r>
      <rPr>
        <sz val="11"/>
        <color theme="1"/>
        <rFont val="宋体"/>
        <charset val="134"/>
      </rPr>
      <t>蒐</t>
    </r>
    <r>
      <rPr>
        <sz val="11"/>
        <color theme="1"/>
        <rFont val="方正粗黑宋简体"/>
        <charset val="134"/>
      </rPr>
      <t xml:space="preserve">草染成赤黄色的蔽膝, </t>
    </r>
    <r>
      <rPr>
        <sz val="11"/>
        <color theme="1"/>
        <rFont val="宋体"/>
        <charset val="134"/>
      </rPr>
      <t>韎</t>
    </r>
    <r>
      <rPr>
        <sz val="11"/>
        <color theme="1"/>
        <rFont val="方正粗黑宋简体"/>
        <charset val="134"/>
      </rPr>
      <t>、</t>
    </r>
    <r>
      <rPr>
        <sz val="11"/>
        <color theme="1"/>
        <rFont val="宋体"/>
        <charset val="134"/>
      </rPr>
      <t>缊</t>
    </r>
    <r>
      <rPr>
        <sz val="11"/>
        <color theme="1"/>
        <rFont val="方正粗黑宋简体"/>
        <charset val="134"/>
      </rPr>
      <t>、</t>
    </r>
    <r>
      <rPr>
        <sz val="11"/>
        <color theme="1"/>
        <rFont val="宋体"/>
        <charset val="134"/>
      </rPr>
      <t>縓</t>
    </r>
    <r>
      <rPr>
        <sz val="11"/>
        <color theme="1"/>
        <rFont val="方正粗黑宋简体"/>
        <charset val="134"/>
      </rPr>
      <t>同指赤黄色。《诗经·小雅·瞻彼洛矣》日“君子至止,福禄如茨。</t>
    </r>
    <r>
      <rPr>
        <sz val="11"/>
        <color theme="1"/>
        <rFont val="宋体"/>
        <charset val="134"/>
      </rPr>
      <t>韎韐</t>
    </r>
    <r>
      <rPr>
        <sz val="11"/>
        <color theme="1"/>
        <rFont val="方正粗黑宋简体"/>
        <charset val="134"/>
      </rPr>
      <t>有</t>
    </r>
    <r>
      <rPr>
        <sz val="11"/>
        <color theme="1"/>
        <rFont val="宋体"/>
        <charset val="134"/>
      </rPr>
      <t>奭</t>
    </r>
    <r>
      <rPr>
        <sz val="11"/>
        <color theme="1"/>
        <rFont val="方正粗黑宋简体"/>
        <charset val="134"/>
      </rPr>
      <t>,以作六师。许慎《说文解字·韦部》曰“</t>
    </r>
    <r>
      <rPr>
        <sz val="11"/>
        <color theme="1"/>
        <rFont val="宋体"/>
        <charset val="134"/>
      </rPr>
      <t>韎</t>
    </r>
    <r>
      <rPr>
        <sz val="11"/>
        <color theme="1"/>
        <rFont val="方正粗黑宋简体"/>
        <charset val="134"/>
      </rPr>
      <t>,茅</t>
    </r>
    <r>
      <rPr>
        <sz val="11"/>
        <color theme="1"/>
        <rFont val="宋体"/>
        <charset val="134"/>
      </rPr>
      <t>蒐</t>
    </r>
    <r>
      <rPr>
        <sz val="11"/>
        <color theme="1"/>
        <rFont val="方正粗黑宋简体"/>
        <charset val="134"/>
      </rPr>
      <t>染韦也”。《玉藻》注“</t>
    </r>
    <r>
      <rPr>
        <sz val="11"/>
        <color theme="1"/>
        <rFont val="宋体"/>
        <charset val="134"/>
      </rPr>
      <t>缊</t>
    </r>
    <r>
      <rPr>
        <sz val="11"/>
        <color theme="1"/>
        <rFont val="方正粗黑宋简体"/>
        <charset val="134"/>
      </rPr>
      <t>,赤黄之闲色,所谓</t>
    </r>
    <r>
      <rPr>
        <sz val="11"/>
        <color theme="1"/>
        <rFont val="宋体"/>
        <charset val="134"/>
      </rPr>
      <t>韎</t>
    </r>
    <r>
      <rPr>
        <sz val="11"/>
        <color theme="1"/>
        <rFont val="方正粗黑宋简体"/>
        <charset val="134"/>
      </rPr>
      <t>也”。</t>
    </r>
  </si>
  <si>
    <t>半见</t>
  </si>
  <si>
    <r>
      <rPr>
        <sz val="11"/>
        <color theme="1"/>
        <rFont val="方正粗黑宋简体"/>
        <charset val="134"/>
      </rPr>
      <t>柳梢微黄,半见之色,若隐若现。史游《急就篇》日“郁金半见缃白</t>
    </r>
    <r>
      <rPr>
        <sz val="11"/>
        <color theme="1"/>
        <rFont val="Microsoft YaHei UI"/>
        <charset val="134"/>
      </rPr>
      <t>䋤</t>
    </r>
    <r>
      <rPr>
        <sz val="11"/>
        <color theme="1"/>
        <rFont val="方正粗黑宋简体"/>
        <charset val="134"/>
      </rPr>
      <t>, 缥</t>
    </r>
    <r>
      <rPr>
        <sz val="11"/>
        <color theme="1"/>
        <rFont val="宋体"/>
        <charset val="134"/>
      </rPr>
      <t>綟</t>
    </r>
    <r>
      <rPr>
        <sz val="11"/>
        <color theme="1"/>
        <rFont val="方正粗黑宋简体"/>
        <charset val="134"/>
      </rPr>
      <t>绿纨皂紫</t>
    </r>
    <r>
      <rPr>
        <sz val="11"/>
        <color theme="1"/>
        <rFont val="宋体"/>
        <charset val="134"/>
      </rPr>
      <t>硟</t>
    </r>
    <r>
      <rPr>
        <sz val="11"/>
        <color theme="1"/>
        <rFont val="方正粗黑宋简体"/>
        <charset val="134"/>
      </rPr>
      <t>”。颜师古注“半见，言在黄白之间,其色半出,不全成也”。这次全面整理失落的中国传统色,怀着对美学的敬意打捞出“半见”这个色名,从史游《急就篇》记录下它到如今已经将近两千年了,它的若隐若现依然楚楚动人。</t>
    </r>
  </si>
  <si>
    <t>杏仁黄</t>
  </si>
  <si>
    <t>荔肉白</t>
  </si>
  <si>
    <t>豆汁黄</t>
  </si>
  <si>
    <t>断肠</t>
  </si>
  <si>
    <t>断肠即柳黄,陶宗仪《南村辍耕录·采绘法》云“柳黄,用粉入三绿标,并少藤黄合”。断肠比 “半见”略深一些,柳梢黄绿初成,看似不真切,让人牵肠挂肚。</t>
  </si>
  <si>
    <t>女贞黄</t>
  </si>
  <si>
    <t>明代的色彩接近当代审美，天缥、退红、天水碧、女贞黄之类,如果形而上去分析,这是平民化的美学进击时代。女贞之淡黄花色。杨慎《升庵集》曰“间色之中，又有间色,若天缥、褪红、浅绛、女贞黄、天水碧之类,不可殚述”。</t>
  </si>
  <si>
    <t>黄白游</t>
  </si>
  <si>
    <t>图</t>
  </si>
  <si>
    <t>这个颜色契合中国人的人生愿景,黄山白岳是神仙梦，黄金白银是富贵梦，都是好梦。金银气色,若白轻黄。汤显祖《有友人怜予乏劝为黄山白岳之游》咏“欲识金银气，多从黄白游。一生痴绝处,无梦到徽州”。黄山白岳间,喜其南柯痴绝，篡取诗意而命名此色。</t>
  </si>
  <si>
    <t>淡肉色</t>
  </si>
  <si>
    <t>酪黄</t>
  </si>
  <si>
    <t>牙色</t>
  </si>
  <si>
    <t>牙色：与像牙相似的淡黄色（注：暖白）</t>
  </si>
  <si>
    <t>莺儿</t>
  </si>
  <si>
    <t>纱帐莺儿色,青春入梦来。黄莺落在绿枝头,仿佛青春在歌唱。</t>
  </si>
  <si>
    <t>篾黄</t>
  </si>
  <si>
    <t>鸭黄</t>
  </si>
  <si>
    <t>鸭黄：小鸭毛的黄色</t>
  </si>
  <si>
    <t>香水玫瑰黄</t>
  </si>
  <si>
    <t>檗黄</t>
  </si>
  <si>
    <t>檗（音擘）黄为植物染料颜色的名称，是来自黄檗树皮中的黄色汁液色素。檗黄是古代制纸时的染纸颜料，黄纸是古代文人书写作画用的纸张。檗黄色感庄重、斯文又典雅。
造纸工艺到了魏晋时期进一步加入新的技巧，那就是将纸张加工染色，目的除了增添美感外，还能起到改善纸张性能的实际效果。当时最常用的就是黄檗树的树皮内层的黄色汁液做染料，将纸张染黄备用。“潢”字最早即解释为染纸的意思，而黄麻纸就是我国古代第一种染色加工纸。
黄檗树又称黄蘖、黄柏、黄波罗，属于芸香科落叶乔木，多产于华北与东北地区，树干的内皮汁液呈黄色，味苦，气微香，因含植物碱，故有防虫功效。黄檗汁经用明矾做染媒剂经高温熬煮后，即产生色相略带绿色的黄色液体的纸张染料。在东汉炼丹家魏伯阳的《周易参同契》中也有“若檗染为黄兮”之句。晋代名书法家王羲之、王献之也非常喜欢用黄纸来挥毫落墨。用檗黄纸书写的风气到了南北朝时已十分盛行，其原因是利用黄檗树皮染出的黄纸有下列几项优点:第一，黄檗有除虫防蛀的药效，可延长纸张的寿命，又有书香之气;第二，黄色为五正色之一，代表典雅与庄重;第三，檗黄色不刺眼，可长期阅读而不吃力、不伤神，又能凸显墨色，其作用及效能与20世纪80年代才在美国出现的黄页广告( Yellow Page )分类电话簿的功用及目的是一致的，但早了1000多年;第四，在书写与校勘时，如有错误需要修改，只要使用同是黄色的矿物雌黄颜料涂改，就可做修正补写。
以檗黄色染出的黄纸是我国流传最久远的文书及艺术用纸。它又是宗教信徒抄写佛典或道家经文常用的纸张，因为他们认为檗黄色庄严稳重。在敦煌石窟的藏经洞中，就发现为数不少的以黄纸抄写的古老经文。而无数古代的绘画书法珍品还能完好地保存至今，实拜檗黄所赐。</t>
  </si>
  <si>
    <t>绢纨</t>
  </si>
  <si>
    <t>绢是很令人困惑的基本传统色，它是未漂白的生丝黄色，未练染的生丝白色称为“缟”。史游《急就篇》曰“蒸栗绢绀缙红繎”。颜师古注蒸栗,黄色,若蒸孰之栗也。绢,生白缯,似缣而疏者也，一名鲜支”。张揖《广雅·释器》曰“绡谓之绢, 縓谓之红, 纁谓之绛,缁谓之皂”。王念孙注“绢,此谓白缯之未染者”。许慎《说文解字·系部》曰“绢,缯如麦绢”。绢指帛未漂练的泛黄色，黄丝非白丝,也就是麦之色</t>
  </si>
  <si>
    <t>缃色</t>
  </si>
  <si>
    <t>240，194，57</t>
  </si>
  <si>
    <r>
      <rPr>
        <sz val="11"/>
        <color theme="1"/>
        <rFont val="方正粗黑宋简体"/>
        <charset val="134"/>
      </rPr>
      <t>缃是现今已少用的古代色彩名词，是指一种略露青涩的浅黄色。《释名》解释为:“缃，桑也。如桑叶初生之色也。”缃亦指经过漂染的丝帛棉织品的色泽:“缃，帛浅黄色也。”(《说文·新附字》)
淡雅的缃色是古代女子普遍使用的服色，在古诗《陌上桑》中记载了采桑姑娘的穿着打扮:“缃绮为下裙，紫绮为上襦。”绮是有花纹的丝织品，襦是长度在膝盖以上的短上衣。黄紫两色的衬搭，也反映出旧时女性对服装颜色选配的审美观念。
缃色亦泛指岭南水果阳桃的青黄色。阳桃古称杨桃、苌楚、三廉、羊桃、五敛子、五棱子(因果有五棱)等。西晋郭义恭的《广志》载:“三廉，似翦羽，长三四寸;皮肥细，缃色。以蜜藏之，味酸甜，可以为酒啖。”即经过腌渍的甜酸阳桃是古时下酒的点心零食。另外，在水果类别里还有一种自古有名的蜜桃，叫缃核桃(即黄核水蜜桃),主要产自著名的桃乡之———甘肃省兰州市安宁区,属当地水果类别中的上品。
湘核桃又有可能是明代小说家吴承恩笔下天宫中9000年一熟的鲜果蟠桃。:“半红半绿喷甘香，艳丽仙根万载长……紫纹娇嫩寰中少，缃核清甜世莫双。延寿延年能易体，有缘食者自非常。”(《西游记》第七回)
被誉为茶圣的唐人陆羽认为，缃色的茶汤是醇香味美的上品好茶(见《茶经·五之煮》）。缃也是一种洋溢着书卷气的颜色，因为在纸张发明之前，古人把用来记录文书的黄色竹简称作缃简;用缃色绢帛书写的卷宗叫缃帖;以浅黄色绸子做的书衣（封套)叫缃帔;书画卷轴雅称缃轴;缃图则指书籍图册;而早年女子拿来梳妆打扮、以浅黄色帛制的精巧小匣子为缃奁。色感文雅轻盈的“缃”字一直沿用到清代，之后才渐渐被现代颜色词“浅黄色”所替代。</t>
    </r>
    <r>
      <rPr>
        <sz val="11"/>
        <color theme="0" tint="-0.499984740745262"/>
        <rFont val="方正粗黑宋简体"/>
        <charset val="134"/>
      </rPr>
      <t>缃色：浅黄色。</t>
    </r>
  </si>
  <si>
    <t>松花</t>
  </si>
  <si>
    <t>5,119,72</t>
  </si>
  <si>
    <r>
      <rPr>
        <sz val="11"/>
        <color theme="1"/>
        <rFont val="方正粗黑宋简体"/>
        <charset val="134"/>
      </rPr>
      <t>松花是松树雄枝春天抽新芽时的花骨朵。拂取的松花如婴儿肌肤般新鲜,祈福长寿的松花酒是神仙梦,而薛涛的松花笺是最出名的传统色衍生品,更是文学的绮丽梦。唐人为松花色所倾倒,“轻如松花落金粉,浓似苔锦含碧滋”“自看和酿一依方,缘看松花色较黄”分别是唐代诗人李白和王建的名句。松花色的笺纸。可以说是大名鼎鼎的中国传统色衍生品,所谓薛涛松艺笺。薛涛之后,制作彩色笺纸成为雅事,明代戏曲家高濂在《遵生八笺》里说:“蜡砑五色生,亦以白色、松花色、月下白色罗纹笺为佳,余色不入清赏。”唐代诗人元模在检花笺上目应薛涛的知音情意:“铸江滑腻峨后秀,幻出文君与薛涛。”松花粉也是滋补品。抖落松花粉,古人专用一个“拂”字,仙气得很。松花粉可以做松花酒,也可以做松花点心。据说食之身如燕、颜如春。北宋文人苏轼写过广告语:“一斤松花不可少,八两蒲黄切莫炒。槐花杏花各五钱,两斤白蜜一起捣。吃也好,浴也好,红白容颜直到老。</t>
    </r>
    <r>
      <rPr>
        <sz val="11"/>
        <color theme="0" tint="-0.349986266670736"/>
        <rFont val="方正粗黑宋简体"/>
        <charset val="134"/>
      </rPr>
      <t>松花色：浅黄绿色。 （松树花粉的颜色）《红楼梦》中提及松花配桃红为娇艳</t>
    </r>
  </si>
  <si>
    <t>象牙黄</t>
  </si>
  <si>
    <t>近似象牙的淡黄色,简称“牙黄”。浅黄中略带青色，色相较浑浊、低调，给人自然柔和的感受。</t>
  </si>
  <si>
    <t>黄色</t>
  </si>
  <si>
    <t>汉文“黄”字是传统的颜色名词，原指大地的色彩，《说文解字》曰:“黄部，地之色也。从田从茨茨亦声。”茨是光的古字，意思是田地在光线照耀下所呈现的颜色称为黄色。《释名·释采帛》又说:“黄，晃也，犹晃晃，像日光色也。”意即黄又代表太阳的光泽、色彩。黄色在传统文化中地位崇高，曾经是天子的御用颜色，它代表政治上的最高权位、正统、尊严与光明。盘古初开，天地玄黄，是先民最早认知混沌苍茫世界的原始色彩。黄色又是代表华夏民族聚生繁衍、代代生息以及孕育万物的大地，是先民敬畏膜拜的对象。自春秋战国时期开始，传统的五正色色彩观与阴阳哲学思想和五行学说以及占星术中的东、南、西、北、中五方观念相结合后，认为土居四方的中间，而土又是一切元素的根本,黄色属土,所以又称“地色”及“中央之色”，属于五正色之首，为至高无上的颜色。黄色同时又与政治权位结合，成为象征皇权的代表色。而历代帝王崇尚黄色为至尊的色彩含义，则一直延续至20世纪初辛亥革命后才有所改变。黄色在传统文化中还代表不同的含义，例如黄道吉日是指寓意吉祥、诸事皆宜的好日子;黄金的金属光泽是自古即属于极贵重与罕有的色泽;金黄色又具有浓重的宗教气息，是佛教的代表色，例如佛像称“金身”、寺庙称“金刹”;而铜钱的铜黄金属色，则是我国最典型与人们最熟识的货币颜色。
黄色是最古老的布帛色染与绘画颜料用色之一，以植物栀子果实色素染成的栀子色可能是最早出现的服色。《诗经·邯风·绿衣》中有“绿衣黄里”的穿衣色彩搭配的描述，“里”指的是衣服的内里。在传统绘画用色中有藤黄、石黄、雄黄及黄丹等植物性与矿物性的各种黄色颜料，是甘肃敦煌石窟内、唐代时期彩绘壁画上画工大量运用的颜色;而在额头眉心间点上黄色记号，则是古代女子化妆美容中的时尚色彩。但在京剧的角色中，黄色脸谱则象征勇猛与急躁。
在民生食品中，米黄色的稻谷是南方人的主要粮食;传统上橙黄色是表示瓜熟蒂落及水果成熟时芳香甜美的色泽;黄梅时节是指春末夏初梅子黄熟的时节。在曹雪芹笔下的“秋花惨淡秋草黄，耿耿秋灯秋夜长”(《红楼梦》第四十五回)中，草木的枯黄色则是渲染暑寒易节后极目大自然间的萧瑟落寞颜色，是属于莫名悲秋的心理色彩。
汉语中黄又可引申为幼嫩的意思，如黄口是指儿童，黄毛丫头是说年少不懂事的女孩，黄花闺女是指待字闺中尚未出嫁的姑娘。然而在古时黄发却是形容耆老，“人初老则发白，太老则发黄”，是时间流逝的象征。
至于代表不雅、公开谈论两性关系的“黄色笑话”及“黄色新闻”等贬义字句，则是近代才从西方传入的用词，与原来我们认知中黄色的严肃、隆重与正面的含义，已有很大的差别了。</t>
  </si>
  <si>
    <t>茉莉黄</t>
  </si>
  <si>
    <t>麦芽糖黄</t>
  </si>
  <si>
    <t>麦秆黄</t>
  </si>
  <si>
    <t>淡茧黄</t>
  </si>
  <si>
    <t>樱草色</t>
  </si>
  <si>
    <t>樱草色：淡黄色。</t>
  </si>
  <si>
    <t>葵扇黄</t>
  </si>
  <si>
    <t>田赤</t>
  </si>
  <si>
    <t>出自中国绘画、雕塑、建筑传统所用金箔色。迮朗《绘事琐言》载“金有两种:赤金,色赤，足者打成;田赤金,色淡黄，以淡金打成。此皆真金也”。拼入银的金,和拼入紫铜的金一样,都是出于成本考虑吧?</t>
  </si>
  <si>
    <t>黄鹂留</t>
  </si>
  <si>
    <t>即黄鹂鸟。翩翩黄鹂鸟的身影,杜甫去探访武侯祠,正是“映阶碧草自春色，隔叶黄鹏空好音”。其色其意，如踏春之金衣公子。</t>
  </si>
  <si>
    <t>淡密黄</t>
  </si>
  <si>
    <t>色泽明亮，常常出现在古诗文中，成为美色的代名词。如“杨柳董家桥，鹅黄万万条”，描绘初春杨柳的新嫩颜色。“鹅黄”还指鲜艳的花色，淡黄的酒色，女子面上的妆色等。</t>
  </si>
  <si>
    <t>栀子</t>
  </si>
  <si>
    <t>250，192，61</t>
  </si>
  <si>
    <r>
      <rPr>
        <sz val="11"/>
        <color theme="1"/>
        <rFont val="方正粗黑宋简体"/>
        <charset val="134"/>
      </rPr>
      <t>栀（音枝）为植物名，栀子色是指用栀子果实的黄色汁液直接渍浸织物所染出的颜色。栀子色属于偏红的暖黄色，可能是我国最早出现的天然植物织染黄色。
栀古称“卮”，亦作卮。卮是古代的一种酒杯，因造型与栀子花瓣形态有几分相似，故以名之。栀别称山栀、山黄栀、黄栀，主要分布在我国南方。栀子树属常绿灌木，茜草科栀子属，春季四、五月份开花，秋天结果;果实则呈椭圆形,黄红色，因含“藏花酸”的黄色素，果实经压榨后所获得的黄色汁液就可直接浸染丝帛棉织物，染成的黄色微泛红光。栀子是我国最早使用和最好用的天然染色剂之一。
栀子树自汉代开始即以人工垦地大量培植，《史记·货殖列传》曰:“千亩卮茜……此其人皆与千户侯等。”卮即栀，茜是染出红色的茜草。即是说大量培种卮茜染材植物的都是获赐有千户人家的封侯阶级。汉武帝服色尚黄，古书《汉官仪》记有“染园出卮茜，供染御服”，说明当时以栀子染为最高级的服色。
值得一提的是，宋代及之前的文字学家认为“染”这个字的起源可能与栀子有关，染的本意为“使布帛等物着色”。宋人罗愿所著《尔雅翼》卷四中记有“卮，可染黄……经霜取之以染，故染字从‘木’”，他又认为“木者，卮茜之流也”。宋人裴光远也说:“染，从水，水者可以染，从木，木者栀茜之属。从九，九者染之数也。”(《集缀古文》)即是说色染布帛要用水漂，以及用植物栀子及茜草为染材，九是指所要求的染物色泽可经过次数多达九次的重复浸染而获得。从文字的记载与描述中可以看出，栀子在传统植物染料家族中，就算不是鼻祖，起码也拥有使用的普遍性以及重要的地位。</t>
    </r>
    <r>
      <rPr>
        <sz val="11"/>
        <color theme="0" tint="-0.499984740745262"/>
        <rFont val="方正粗黑宋简体"/>
        <charset val="134"/>
      </rPr>
      <t>应用于染色的部分系栀子果实，用之浸液可直接染织物成色。司马迁说,家有千亩栀子和茜草,身价就等同于千户侯,这是何等富贵的颜色。栀子果实含有栀子苷，是一种天然黄色素，自古以来就是染黄的染料。</t>
    </r>
  </si>
  <si>
    <t>金色</t>
  </si>
  <si>
    <t>金色：平均为深黄色带光泽的颜色</t>
  </si>
  <si>
    <t>明黄</t>
  </si>
  <si>
    <r>
      <rPr>
        <sz val="11"/>
        <color theme="1"/>
        <rFont val="方正粗黑宋简体"/>
        <charset val="134"/>
      </rPr>
      <t>明黄是一种色彩纯度高、略露微青的明亮色调，色感清爽、跃动，曾经是清朝历代帝王的朝服御用颜色。6世纪时，隋文帝杨坚是我国首位选择穿黄袍上朝听政的皇帝，《读通鉴论》中有言:“开皇元年，隋主服黄，定黄为上服之尊，建为永制。”自此历代帝君均沿袭隋制，定黄色为九五之尊的龙袍专用色。自唐代以后，臣民不得僭服黄色衣物，违者以死罪论。
1644年满族人入主中原，建立清王朝后，清代帝皇仍推崇汉文化，并且厉行汉人传统的“五色行”说的色彩观念与论述，认同黄色是五正色中居于诸色之上的。黄袍仍是历代清帝的御用朝服专色，只是衮服（即龙袍，吉服）的色调从沿用了千余年的柘黄色改为明黄色，以示区别。皇后朝袍亦以明黄为贵，用缎子制成。而以明黄纱或绸缎原料缝制成的“黄马褂”，则属于皇上最高的赏赐，只有皇族、御前大臣、有功勋的文武官员以及朝廷特使等经钦点后才可受用;除此之外，民间一律严禁使用，违者将以“叛逆”入罪，会招惹杀身之祸。据清人蒋良琪《华东录》的记述，在清雍正王朝时，曾平定青海叛乱立功的猛将年羹尧，就因家门外用黄土铺路，私下用黄色包袱及鹅黄色荷包，最后成为他被判死刑的罪名之一。作为清朝皇廷御用服色200多年的明黄色，直至辛亥革命后，其封建思想及色彩才随着时代潮流的变迁而逐渐褪色，明黄色从此回归民间，让百姓可以自由使用。</t>
    </r>
    <r>
      <rPr>
        <sz val="11"/>
        <color theme="0" tint="-0.499984740745262"/>
        <rFont val="方正粗黑宋简体"/>
        <charset val="134"/>
      </rPr>
      <t>明黄，升上中天的太阳色。《明史·舆服志》记载:“天顺二年(1458年)定官民衣服不得用蟒龙、飞鱼、斗牛、大鹏、像生狮子、四宝相花、大西番莲、大云花样，并玄、黄、紫及玄色、黑、绿、柳黄、姜黄、明黄诸色。”早在明英宗年间，明黄就被确定为皇家标识色。此后，明孝宗上谕再次明确:“玄、黄、紫、皂乃属正禁,即柳黄、明黄、姜黄诸色,亦应禁之。”明黄不是在清代才成为禁色,早在明代就是了。 到了清代,《皇清开国方略》记载:”(天聪六年,1632年）甲子朔,布令国中、以是月二十日为始,黑狐防、五爪龙、明黄、杏黄、全黄等服非上赐不得用。”皇太极重申了明黄为禁色,但当时还没有定为皇帝专用。 《钦定大清会典则例》记载，乾隆十三年（1748年),孝贤皇后富察氏驾崩，乾隆帝深为哀恸,“列后衾秀用明黄织金五采九凤绝”，“凡七层全棺套用明黄行龙妆般”,葬仪规格之高可见一斑。同年，乾隆帝封娴贵妃为皇贵妃摄六宫事,“皇贵妃仪仗内车卖,例用明黄帷、金黄物，今请加崇均用明黄”。 乾隆三十七年（1772年),在书面上,明黄正式成为皇帝专用标识色。 《清史稿·舆服志》记载:“(皇帝）朝服色用明黄，惟祀天用蓝，朝日用红，一夕月用月白。”</t>
    </r>
  </si>
  <si>
    <t>禹余粮</t>
  </si>
  <si>
    <t>其色出自中药名。张华《博物志》云“世传昔禹治水，弃其所余食于江中,而为药也”。传说大禹治水的余粮弃于山川,李时珍讲“生于池泽者为禹余粮，生于山谷者为太一余粮”。</t>
  </si>
  <si>
    <t>炒米黄</t>
  </si>
  <si>
    <t>嫩鹅黄</t>
  </si>
  <si>
    <t xml:space="preserve">浮蚁白而嫩鹅黄，古云少年不入川，非但是川女多情，川中名酒嫩鹅黄也是无法抗拒。鹅黄酒色，生趣盎然。嫩鹅黄,唐宋年间优质发酵酒的颜色。古代以秫米酿酒，各家有各家的招儿，制曲和酿造工艺差别大，酒的质量差别也大，酒色是辨别酒质的重要依据，一般说来，绿色酒比较多见，黄色酒好于绿色酒,琥珀色的酒接近于现代黄酒品质、红色酒稀罕惹人喜爱。过滤未尽的浊酒也会出现黄色酒，但那是一种浑浊的黄,不似嫩鹅黄，嫩鹅黄是黄酒曲酿出的清酒，独有的亮色容易分辨。过滤得好，去糟取清，则是清酒，清酒有三大特点:酿造时用曲量大、选料精细、发酵期长。这种酒成熟后酒液清澈，故谓之清酒。浊酒与清酒,是两种心境、两种境遇。 </t>
  </si>
  <si>
    <t>浅驼色</t>
  </si>
  <si>
    <t>娇黄</t>
  </si>
  <si>
    <t>这抹纯正、明媚、娇嫩的黄色，被呼作“娇黄”，源自明代弘治年间流行起来的一批黄釉瓷器。因高温黄釉难以烧成，反复尝试方得成功的低温黄釉，终于成就了这种来自不易的颜色。</t>
  </si>
  <si>
    <t>芒果黄</t>
  </si>
  <si>
    <t>油菜花黄</t>
  </si>
  <si>
    <t>缃叶</t>
  </si>
  <si>
    <t xml:space="preserve">湘是很重要的基本传统色,初生桑叶是欣欣向荣的颜色,也用来说荷叶的颜色。中国古代“农桑并举”,有蚕桑,才有衣锦还乡,这是富贵梦。许慎《说文解字·系部》注“缃,帛浅黄色也”。刘熙《释名·释采帛》注“缃,桑也,如桑叶初生之色也”。缃和缥一样，是中国传统色的重要色名。缃缥、缥缃是读书人指代书卷的专用词,因为古人习惯用浅黄色或淡青色的丝帛做书衣、书囊，所以捧着书的、拎着书的读书人是与这两种颜色为伍的。主持编辑《文选》的南朝梁武帝长子昭明太子萧统,是热爱文学和佛法的大才子，他在《文选》的序中说:“词人才子,则名溢于缥囊;飞文染翰,则卷盈乎缃帜。” </t>
  </si>
  <si>
    <t>柠檬黄</t>
  </si>
  <si>
    <t>像成熟的柠檬一样的淡黄色，是绘画、印刷中常使用的三原色之一，无法用其他颜色调出，是黄色系列中明度最高的一种。</t>
  </si>
  <si>
    <t>蝶黄</t>
  </si>
  <si>
    <t>秋葵黄</t>
  </si>
  <si>
    <t>雌黄</t>
  </si>
  <si>
    <t>180，136，77</t>
  </si>
  <si>
    <r>
      <rPr>
        <sz val="11"/>
        <color theme="1"/>
        <rFont val="方正粗黑宋简体"/>
        <charset val="134"/>
      </rPr>
      <t>雌黄是中外古今颜色史上，渊源久远的黄色矿物颜料。雌黄的英文名Orpiment，来自拉丁文的Auripigmentum，意指“金黄色的颜料”，是古希腊与古罗马常用的黄色颜料。因雌黄属晶体单斜晶丝矿石，外形多呈片状，所以在我国民间画师中有“四两雌黄，千层金片”的说法。雌黄的化学成分是三硫化二砷(AszSa )，常与矿物雄黄( AsS，即硫化砷）共生;雌黄因含砷量高达60.9%，是自古制取砷、硫黄以及炼金术中的主要矿物用料。在西方化学史上被公认第一位从砷硫化合物中提取出砷元素的是13世纪的神职人员兼炼金家阿尔伯特·冯·布尔斯塔德( Albert Von Bollstadt )。在3—-4世纪，著名炼丹术士葛洪(283—363）已利用砷硫化合物提炼长生不老药。而古人也习惯把硫黄、雌黄和雄黄矿物合称为“三黄”，视为重要药品。
在传统绘画颜料中，雌黄又称黄信石、铅黄、石黄，在盛唐时期的敦煌石窟壁画中曾大量使用。现代考古学家及学者亦从莫高窟的彩绘壁画和保存在藏经洞的唐代绢画中，分析出雌黄颜料成分。古籍又记载甘肃敦煌市雌黄州以生产雌黄及朱砂闻名，古代的画工即因利成便、就地取材，雌黄于是成了古窟彩壁画中常见的矿物颜料之一。
颜料雌黄也是古人文书抄写校对时用的涂改液，它与20世纪才发明的白色修正液有同样的功效。而成语“信口雌黄”就被引申为不顾事实、随口乱说的意思。</t>
    </r>
    <r>
      <rPr>
        <sz val="11"/>
        <color theme="0" tint="-0.499984740745262"/>
        <rFont val="方正粗黑宋简体"/>
        <charset val="134"/>
      </rPr>
      <t>古人以黄纸写字,写错处以雌黄涂之。沈括《梦溪笔谈》曰“馆阁新书净本有误书处,以雌黄涂之”。命运若有雌黄笔,世间必无伤心人,陆游的错错错,何妨借雌黄涂去，这也是一个梦幻的颜色吧。雌黄，中国画颜料，柠黄色，化学成分是三硫化二砷。雌黄与雄黄是共生的,宛如矿石鸳鸯，从矿石开采出来的雌黄是像云母般的软质、易碎、片状晶体，俗称“四两雌黄，千层金片”。在矿石中存留的雌黄遇到空气会变硬，就成为石黄,正黄色,化学成分还是三硫化二砷。 顺便说一下雌黄的伴侣,雄黄，橘黄色，化学成分是四硫化四砷,氧化后生成三氧化二砷，即砒霜。</t>
    </r>
  </si>
  <si>
    <t>甘草黄</t>
  </si>
  <si>
    <t>大豆黄</t>
  </si>
  <si>
    <t>赤金</t>
  </si>
  <si>
    <t>赤金：足金的颜色</t>
  </si>
  <si>
    <t>雅梨黄</t>
  </si>
  <si>
    <t>鸭梨原名雅梨,即如鸭梨表皮一样浅黄、水灵的颜色。宋人释正觉曾描绘秋梨变黄道:“梨黄枣赤秋如许，发白眉庞老奈何。”</t>
  </si>
  <si>
    <t>佛手黄</t>
  </si>
  <si>
    <t>黄封</t>
  </si>
  <si>
    <t>宋代官酿,因用黄罗帕或黄纸封口，得酒名，今取色名。苏轼《岐亭五首》曰“为我取黄封，亲拆官泥赤”。施元之注“京师官法酒以黄纸或黄罗绢幂瓶口，名黄封酒”。“荣紫诰,醉黄封”，都是大官的排场。</t>
  </si>
  <si>
    <t>沙石黄</t>
  </si>
  <si>
    <t>铅黄/密陀僧</t>
  </si>
  <si>
    <t>179，147，75</t>
  </si>
  <si>
    <r>
      <rPr>
        <sz val="11"/>
        <color theme="1"/>
        <rFont val="方正粗黑宋简体"/>
        <charset val="134"/>
      </rPr>
      <t>铅黄又称黄丹、黄铅、铅黄花、铅陀及密陀僧（此名音译自波斯语Mirdasang)，为橘黄色的矿物晶体，是古埃及与古代中国用在绘画上的主要黄色矿物颜料。铅黄亦是古代炼丹家制炼长生不老药的原料之一，“密陀僧”是道教方士炼制仙丹的秘方中对铅黄的暗语隐称。铅黄的化学成分为氧化铅( PbO)，有毒。唐代著名炼丹家张九垓最早确定这种矿物含有金属铅:“铅者黑铅也……可作黄丹、胡粉、密陀僧。”(《金石灵砂论》)文中的胡粉亦叫铅白，又是古代化妆用品之一。铅黄不溶于水，在空气中加热至489℃时，会生成黄色的金属铅粉末;若再加温到600℃并继续吸收空气中的氧气后，就会生成红色的四氧化三铅( Pb,O4),即古称的铅丹,为古代提炼丹药的原料之一。
在我国美术史中最早使用铅黄作为颜料的记录，是在1972年湖南长沙出土的T形帛画中，当时的画工已使用如黄丹、朱砂、石绿、石青、白垩等矿物质颜料，古文物长埋地下2000多年，但色泽仍绚丽鲜艳。近年我国学者在分析早期的敦煌莫高窟，即北凉时期的七个洞窟壁画颜料时，发现其中268号及272号洞穴中的彩绘壁画上有未经调和其他颜料，只作单一黄色使用的氧化铅颜料成分。专家认为，当时的美术工匠采用了术士提炼金、银时所产生的铅陀（密陀僧）的方法，制备了首种人工化学合成的黄色颜料“铅黄”。到了唐代，密陀僧作为绘画颜料使用已更加普遍。另外，密陀僧在中世纪时还当作木制漆器的干燥剂使用。现代专家在通过对日本奈良正仓院珍藏的唐代漆器的科学测定证实，这些古物确含有密陀僧干燥剂成分。
铅黄又是古代女子美颜用的化妆品，在北宋词人周邦彦把梅花比作仙女的《丑奴儿·大石梅花》中有“洗尽铅黄，素面初无一点妆”之句。而成语“洗尽铅黄”或“洗尽铅华”，即用来形容过尽糜烂与繁华的生活，重归平淡朴素的日子的意思。密陀僧在古代据说也是男士髭须的染色剂;在古方中记载，铅黄与桐油调和后可解腋下狐臭，以及可作治疗痔疮之用。铅黄的英文为Litharge，是西方油画中常用的黄色颜料。</t>
    </r>
    <r>
      <rPr>
        <sz val="11"/>
        <color theme="9" tint="-0.499984740745262"/>
        <rFont val="方正粗黑宋简体"/>
        <charset val="134"/>
      </rPr>
      <t>略带橙色的黄，又名“铅黄”、“黄丹”、“黄铅”。因唐代时从波斯传入，所以得了“密陀僧”这一颇具神秘感的名字。曾是敦煌壁画中大量使用的重要颜料。</t>
    </r>
    <r>
      <rPr>
        <sz val="11"/>
        <color theme="0" tint="-0.499984740745262"/>
        <rFont val="方正粗黑宋简体"/>
        <charset val="134"/>
      </rPr>
      <t>东汉时从波斯传入，按波斯语音译为密陀僧,俗称铅黄,是中国画传统颜料色,也是美人们的妆品，更是炼丹术士的神物,炼丹术士认为它有衍生万物、驱魔辟邪的威力。亦称铅黄,粉黛颜色,也是古代炼丹和绘画的重要材料。苏颂《本草图经》载“(密陀僧）其初采矿时,银铜相杂。先以铅同煎炼,银随铅出。又采山木叶烧灰,开地作炉,填灰其中,谓之灰池。置银铅于灰上,更加火大锻,铅渗灰下,银住灰上,罢火，候冷出银。其灰池感铅银气，置之积久成此物。今之用者,往往是此,未必胡中来也。形似黄龙齿而坚重者,佳”。</t>
    </r>
  </si>
  <si>
    <t>硫华黄</t>
  </si>
  <si>
    <t>鹦鹉冠黄</t>
  </si>
  <si>
    <t>初熟杏黄</t>
  </si>
  <si>
    <t>金瓜黄</t>
  </si>
  <si>
    <t>蒿黄</t>
  </si>
  <si>
    <t>芸黄</t>
  </si>
  <si>
    <t>始自诗经中凌霄花盛开的颜色。《诗经·小雅·苕之华》日“苕之华,芸其黄矣”,又《诗经·小雅·裳裳者华》日“裳裳者华,荟其黄矣”。毛传“芸黄,盛也”。郑玄笺“华芸然而黄,兴明王德之盛也"。孔颖达疏“芸是黄盛之状”。王引之曰“芸其黄矣，言其盛,非言其衰”。帝王盛德之色,天下丰盈之色。后来演变为衰草枯黄的颜色</t>
  </si>
  <si>
    <t>藤黄</t>
  </si>
  <si>
    <r>
      <rPr>
        <sz val="11"/>
        <color theme="1"/>
        <rFont val="方正粗黑宋简体"/>
        <charset val="134"/>
      </rPr>
      <t>藤黄是一种纯黄色的植物性国画颜料,在古代文献中有“铜黄、同黄、月黄”的记载，属外来的着色材料，在唐代以前从东南亚传入我国，后向东传到日本。
藤黄是南方热带林中海藤树的树脂，主要产地在越南、泰国及缅甸等国。古代的藤黄色料萃取方法是从海藤树干上凿孔，将滴出的胶质黄色液脂以竹筒承接，树液固化后将竹筒剖开，取出棒状树脂，即可用砚石加水研磨使用。藤黄至今仍在传统绘画颜料店中论斤计价出售。属于有机质的藤黄颜料，在绘画着色后若保存良好的话，不易褪色。藤黄是颜料中透明度很高的一种鲜黄色，与花青色调和会混配出透明的嫩绿色。现代学者与考古工作者从历经了千百年、十余个朝代的敦煌石窟彩绘壁画颜色采样中，分析出古代艺匠在壁画的颜色用料上，大体可分为有机性（植物）颜料和无机性（矿物）颜料两大类，其中就包括了色彩至今仍明亮鲜艳的藤黄用色。
藤黄亦用于传统工艺品的涂饰上，又可做药，因藤黄含霉菌，符合中医以毒攻毒的法则。</t>
    </r>
    <r>
      <rPr>
        <sz val="11"/>
        <color theme="9" tint="-0.499984740745262"/>
        <rFont val="方正粗黑宋简体"/>
        <charset val="134"/>
      </rPr>
      <t>也称“月黄”，给人明亮、绚烂的印象。作为国画颜料的藤黄，取自生长于南方的海藤树树脂。至晚在初唐敦煌壁画中即被使用，该莫高窟第431窟内，即有用藤黄颜料绘制的多宝佛。</t>
    </r>
  </si>
  <si>
    <t>鹅掌黄</t>
  </si>
  <si>
    <t>素馨黄</t>
  </si>
  <si>
    <t>向日葵黄</t>
  </si>
  <si>
    <t>黄河琉璃</t>
  </si>
  <si>
    <t>黄河孟津口放眼望去、波涛汹涌、大气磅礴、阳光照着黄河水,如同黄琉璃的颜色。绘色上佳乃有纪坤《渡黄河作》“黄河天上来，其源吾不知。东南会大海,吾亦未见之。但观孟津口,酒涌已若斯。放眼三十里,日耀黄琉璃”。由此得名黄河琉璃,其色如日光下孟津口之黄河水也。竹席因为色黄而有光泽，也被称为黄琉璃。</t>
  </si>
  <si>
    <t>黄连黄</t>
  </si>
  <si>
    <t>乳鸭黄</t>
  </si>
  <si>
    <t>像雏鸭一样的鲜黄色。这是一种可爱、亮丽而又充满生命力的颜色，可以用黄澄澄来形容。</t>
  </si>
  <si>
    <t>柚黄</t>
  </si>
  <si>
    <t>木瓜黄</t>
  </si>
  <si>
    <t>硫磺晶体在温泉区的聚积物所呈现的颜色，淡黄略带绿。因沉积的硫具有花纹般的形状，而有硫华的美称。</t>
  </si>
  <si>
    <t>姜黄</t>
  </si>
  <si>
    <t>214，197，96</t>
  </si>
  <si>
    <r>
      <rPr>
        <sz val="11"/>
        <color theme="1"/>
        <rFont val="方正粗黑宋简体"/>
        <charset val="134"/>
      </rPr>
      <t>如生姜一样的黄褐色,比大多数黄色明度更低,既具有黄色鲜明亮丽的特点，又显得沉稳而不张扬，古代瓷器中常见姜黄釉。</t>
    </r>
    <r>
      <rPr>
        <sz val="11"/>
        <color theme="0" tint="-0.499984740745262"/>
        <rFont val="方正粗黑宋简体"/>
        <charset val="134"/>
      </rPr>
      <t>姜黄攻心结、抗抑郁,或许是爱情的疗伤色。亦称郁金。苏敬《新修本草》云“叶根都似郁金,花春生于根,与苗并出,夏花烂,无子。根有黄、青、白三色。其作之方法与郁金同尔”。李时珍《本草纲目》云“(姜黄)圆如蝉腹形者为蝉肚、郁金,并可染色”</t>
    </r>
    <r>
      <rPr>
        <sz val="11"/>
        <color theme="1"/>
        <rFont val="方正粗黑宋简体"/>
        <charset val="134"/>
      </rPr>
      <t>。</t>
    </r>
    <r>
      <rPr>
        <sz val="11"/>
        <color theme="0" tint="-0.349986266670736"/>
        <rFont val="方正粗黑宋简体"/>
        <charset val="134"/>
      </rPr>
      <t>姜黄：中药名。别名黄姜。为姜科植物姜黄的根茎。又指人脸色不正,呈黄白色。</t>
    </r>
  </si>
  <si>
    <t>浅烙黄</t>
  </si>
  <si>
    <t>金盏黄</t>
  </si>
  <si>
    <t>鸡蛋黄</t>
  </si>
  <si>
    <t>像鸡蛋黄一样的颜色，黄中微微带红，是一种很浓郁的黄色。</t>
  </si>
  <si>
    <t>鹅黄</t>
  </si>
  <si>
    <t>255，241，67</t>
  </si>
  <si>
    <r>
      <rPr>
        <sz val="11"/>
        <color theme="1"/>
        <rFont val="方正粗黑宋简体"/>
        <charset val="134"/>
      </rPr>
      <t>鹅黄又称鸦黄、约黄、贴黄，为传统色名，是指家禽鹅嘴或鹅璞的色泽，是高明度略微偏红的暖黄色。色感讨喜，让人轻松愉悦。
色泽明亮的鹅黄色常出现在古诗文中，用以比喻四时节气或呈淡黄色的事与物，例如:“杨柳董家桥，鹅黄万万条。”(元朝杨维桢《杨柳词》）诗中的鹅黄是指初春杨柳的新嫩色泽。另在宋代诗人林通的眼中，鹅黄是初夏的秧苗颜色:“秧田百亩鹅黄大。”(《初夏》)鹅黄又指鲜艳的花色，如:“此花莫遣俗人看，新染鹅黄色未干。”（唐朝李涉《黄葵花》)因最早酿制的酒呈淡黄色，故称黄酒，而鹅黄又可指佳酿，宋代大文豪苏轼《乘舟过贾收水阁》之二:“小舟浮鸭绿，大杓泻鹅黄。”诗中的鸭绿是指水色，鹅黄是酒色。
色感轻快的鹅黄亦是古代妇女的服色:“别十姬，易服与花而出。大抵簪白花则衣紫,紫花则衣鹅黄。”(宋朝周密《齐东野语·张功甫豪御侈》）艳紫配鲜黄，是古代衣饰惯用的搭衬色彩。鹅黄别称额黄，是指古代女子因美容而把黄色颜料涂在额间，因此得名。这种化妆术起源于5世纪的南北朝时期，适逢天竺国(今印度）佛教东传的年代。当时的中国妇女从涂金的佛像中获得灵感，在自己的额头两眉间点上黄色颜料以示美丽，称为“佛妆”。另一种说法是这款美妆最早流行于北方的游牧民族鲜卑族,之后传入中原,并盛行于唐朝。额黄直至宋代仍是时尚的美颜术与流行色泽。历代诗人也有吟咏额黄装点的美丽诗文，例如北周诗人庾信的《舞媚娘》:“眉心浓黛直点，额角轻黄细安。”而传诵干百年的北方民间叙事诗《木兰诗》:“脱我战时袍，着我旧时裳。当窗理云鬓,对镜贴花黄。”鹅黄，就是美色的代名词。</t>
    </r>
    <r>
      <rPr>
        <sz val="11"/>
        <color theme="0" tint="-0.499984740745262"/>
        <rFont val="方正粗黑宋简体"/>
        <charset val="134"/>
      </rPr>
      <t>鹅黄：淡黄色。</t>
    </r>
  </si>
  <si>
    <t>琥珀黄</t>
  </si>
  <si>
    <t>202,105,36</t>
  </si>
  <si>
    <t>拥有琥珀光泽的温润的黄色,略带棕色调。李白曾以琥珀来形容玉碗里的酒:“兰陵美酒郁金香，玉碗盛来琥珀光。”可见这种颜色所具有的光莹和质感。</t>
  </si>
  <si>
    <t>柘黄</t>
  </si>
  <si>
    <t>198，121，21</t>
  </si>
  <si>
    <r>
      <rPr>
        <sz val="10.5"/>
        <color theme="1"/>
        <rFont val="方正粗黑宋简体"/>
        <charset val="134"/>
      </rPr>
      <t>柘黄色又称杏黄，为略显红色的暖黄色，是千余年来最具威望、权威与正统地位的政治图腾色彩，是从6世纪的隋代开始，天子最早选用的龙袍黄色。
柘黄色来自柘树的黄色汁液染色素,故名。柘树属桑科落叶灌木或小乔木，是贵重的树木之一，优点甚多。柘木因质地密实坚韧且具弹性，所以是古代做弓及弹弓的良材，无论是弯弓射人或抬手打鸟，柘木造的弹具都能得心应手。木质平滑细致的柘木还可以制造木板、木杵（舂米或捶衣的木棒）等日用器具。柘树又是生长极为缓慢的树种之一，所以素有“南檀北柘”的美誉。
使用从柘木取出的黄色染色素浸染的衣服古称柘黄衫或柘黄袍。而柘黄袍成为皇帝的御用袍始于隋文帝杨坚。据说以柘黄染色的织物在月光下呈泛红的赭黄色，在烛光下则现赭红色，色泽炫目引人，所以受到隋文帝的钟爱，并“着柘黄袍、巾、带听朝”(《唐六典》），成为我国第一位穿柘黄衫、戴柘黄色头巾及带子上朝听政的皇帝。当时仍未禁止臣民穿着黄色衣物。唐代承袭隋制，皇帝亦穿着柘黄色衫袍，但到了唐高祖李渊的武德年间即禁止臣民着黄色衣物:“唐高祖武德初，用隋制，天子常服黄袍，遂禁士庶不得服，而服黄有禁自此始。”（宋朝王懋《野客丛书·禁用黄》)另一种说法是到了唐高宗李治的总章年间，才开始禁止百姓以赤黄色为衣服饰物的颜色。从此，柘黄色便成了天子的御用服色。
用柘黄色作为龙袍服色的传统惯例一直维持到清代，才被清帝改用色调较亮丽的明黄色替代。但柘黄色已成为我国传统文化及颜色史上至高无上的权势的代表，又是使用历史最长久的政治用色。</t>
    </r>
    <r>
      <rPr>
        <sz val="10.5"/>
        <color theme="0" tint="-0.499984740745262"/>
        <rFont val="方正粗黑宋简体"/>
        <charset val="134"/>
      </rPr>
      <t>这是本篇迄今最尊贵的颜色，黄袍加身，欧阳玄研究睡眠比较早,他说“陈桥一夜柘袍黄,天下都无鼾睡床”，看来这个颜色不宜做睡衣。天子之服色。李时珍《本草纲目》载“柘木染黄赤色，谓之柘黄，天子服”。柘黄，黄中带赤的颜色，像是艳阳的日光，所谓“日华浮动御衣黄”(王仲修)。自隋文帝开始，皇袍使用的黄色染料就是柘木，称作柘黄袍。唐代、宋代、明代,柘黄袍都是至高无上的服色。柘树用作染料的部分是木材,因为柘树生长非常缓慢，木材就变得非常稀有和珍贵,民间有“南檀北柘”的说法，紫檀在南方是最名贵的,柘树在北方是最名贵的。</t>
    </r>
  </si>
  <si>
    <t>鼬黄</t>
  </si>
  <si>
    <t>琉璃黄</t>
  </si>
  <si>
    <r>
      <rPr>
        <sz val="11"/>
        <color theme="1"/>
        <rFont val="方正粗黑宋简体"/>
        <charset val="134"/>
      </rPr>
      <t>琉璃黄主要是指古代宫廷建筑用的琉璃瓦片的色泽，是昔日帝王御居的专用地标颜色。琉璃黄象征正统、皇权、光明与辉煌,色感大气、庄严、正统。
琉璃古名璧琉璃，亦称流璃或</t>
    </r>
    <r>
      <rPr>
        <sz val="11"/>
        <color theme="1"/>
        <rFont val="宋体"/>
        <charset val="134"/>
      </rPr>
      <t>瑠</t>
    </r>
    <r>
      <rPr>
        <sz val="11"/>
        <color theme="1"/>
        <rFont val="方正粗黑宋简体"/>
        <charset val="134"/>
      </rPr>
      <t>璃，为源自西域的外来语。我国较大型的原始琉璃物件——琉璃璧，在公元前4世纪的战国时期已成形。琉璃器皿的制作方法，主要是用含有二氧化硅 ( SiO2)及氧化铝（AlO3)等金属元素的陶土做胎件，经过1100℃以上高温窑烧制后,再涂上如氧化铜(CuO)和氧化钴(CoO )等着色釉料，再以900℃以下的低温，烧制出黄、绿、蓝等不同色调的成品。而明确作为建筑材料用的文字记录，则分见于《西京杂记》《拾遗记》《汉武故事》等古籍。至于“琉璃瓦”的称号，是在我国第一本详细论述建筑工程做法与准则的官方用书「编成于宋元符三年( 1100年）]《营造法式》中的官定名称，是专指用黄丹(氧化铅）、铜末与洛石（即硝石，为硝酸盐矿物）烧制成呈黄、绿色的琉璃瓦片，亦即宋朝皇宫建筑中的专用建材与御用颜色。
13世纪末期元朝建都大都（今北京)后，在京城设有琉璃厂(烧窑）专区，专门烧制宫廷用的琉璃砖瓦。明初朱元璋定都南京后，在南郊芙蓉山设立专职烧制宫殿建筑琉璃的瓦窑有数十座。当时的琉璃胎件用料以安徽太平府白泥为主，并可烧制出如黄、绿、天蓝、紫、褐、黑等多种色泽的琉璃产品。而黄琉璃在明清两代都是宫殿、陵寝与皇家寺庙的御用砖瓦色。
北京至今仍保留有琉璃厂的街名，但已换成古董文玩商号汇聚的文化一条街;唯琉璃黄仍是北京最亮丽的色彩，是这座古城风光特有的颜色。现今故宫内高低层叠的金黄色琉璃瓦顶，在蓝天和阳光的映照下，依旧流露出源远流长的皇权色彩与恢宏的气度。</t>
    </r>
  </si>
  <si>
    <t>香蕉黄</t>
  </si>
  <si>
    <t>草黄</t>
  </si>
  <si>
    <t>像枯草那样黄而微绿的颜色。这一颜色古典、自然、沉静、低调。常常在诗中出现以衬托意境。</t>
  </si>
  <si>
    <t>虎皮黄</t>
  </si>
  <si>
    <t>如老虎皮毛那样的颜色，色黄而深沉。由于动物的毛色油亮,虎皮黄也给人—种润泽的印象,常用作形容玉石的颜色。</t>
  </si>
  <si>
    <t>鞠衣</t>
  </si>
  <si>
    <r>
      <rPr>
        <sz val="11"/>
        <color theme="1"/>
        <rFont val="方正粗黑宋简体"/>
        <charset val="134"/>
      </rPr>
      <t>出自王后祭祀蚕神时穿的礼服颜色。《周礼·天官·内司服》曰“鞠衣,黄桑服也。色如鞠尘,像桑叶始生”。刘熙《释名·释衣服》曰“鞠衣,黄如菊华色也”。琮玉温姿，鞠衣嘉色，鞠衣这种高雅的颜色，源在菊之花、桑之叶。按照礼制，王后的礼服有六种:王后跟随天子祭祀先王或者出嫁，穿</t>
    </r>
    <r>
      <rPr>
        <sz val="11"/>
        <color theme="1"/>
        <rFont val="宋体"/>
        <charset val="134"/>
      </rPr>
      <t>袆</t>
    </r>
    <r>
      <rPr>
        <sz val="11"/>
        <color theme="1"/>
        <rFont val="方正粗黑宋简体"/>
        <charset val="134"/>
      </rPr>
      <t>衣、玄色;王后跟随祭祀先公，穿</t>
    </r>
    <r>
      <rPr>
        <sz val="11"/>
        <color theme="1"/>
        <rFont val="宋体"/>
        <charset val="134"/>
      </rPr>
      <t>褕</t>
    </r>
    <r>
      <rPr>
        <sz val="11"/>
        <color theme="1"/>
        <rFont val="方正粗黑宋简体"/>
        <charset val="134"/>
      </rPr>
      <t>翟，青色;王后跟随祭粑群小神，穿阙翟，赤色;王后祭祀蚕神，穿鞠衣,黄色:王后宴会礼服，穿展衣，白色;王后燕居日常服，穿缘衣，黑色。青、赤、白、玄（黑）、黄，五正色,在王后的礼服上都有体现，这是母仪天下的正气。苏就有诗赞曰:“坤裳有正色，鞠衣亦令名。” 鞠衣与农桑相关联,王后穿鞠衣象征着心系天下之本,这种颜色是古人心目中的好颜色，所以宋代有“鞠衣嘉色”的说法。宋代人还把黄色的梅花与鞠衣相提并论,“诗翁曾住玉皇家，刚与梅花定等差。染上鞠衣官样浅，练裙缟</t>
    </r>
    <r>
      <rPr>
        <sz val="11"/>
        <color theme="1"/>
        <rFont val="宋体"/>
        <charset val="134"/>
      </rPr>
      <t>帨</t>
    </r>
    <r>
      <rPr>
        <sz val="11"/>
        <color theme="1"/>
        <rFont val="方正粗黑宋简体"/>
        <charset val="134"/>
      </rPr>
      <t>觉无华”(魏了翁）。 历史上，汉代的鞠衣曾经变成“青上缥下”，上面是青金石色，下面是浅蓝色。明代的鞠衣变化比较大,不仅作为礼服,还作为日常服，所以出现了赤、青的颜色。到了清代，皇后已经没有鞠衣的礼服了。</t>
    </r>
  </si>
  <si>
    <t>琥珀</t>
  </si>
  <si>
    <t>琥珀色为呈现透明胶质的黄棕色，光泽色彩来自古老矿物琥珀，色感华丽高尚;而化石琥珀在古埃及、古希腊和古罗马均当作宝石饰品的材料使用，已有近6000年的历史记录。
琥珀在古籍《山海经》中称为育沛、遗玉;古人认为琥珀是老虎濒死前目光凝结而成的蜡质物体，故又叫“虎魂”。但中文“琥珀”一词可能是音译自古时西域叙利亚语中的Harpax，名称一直沿用至今未改。而英文称琥珀为Amber ,是源自阿拉伯文的Anbar，意思是“胶”;或来自拉丁文Ambrum，意思是“精髓”。
琥珀实际上是上古时期第三纪一种松柏科植物的树脂，约在300万年前因地壳变动，古松柏遭受山泥覆盖深埋地下，最后经历长年的地层压力及地热的影响，形成半透明的胶质化石，古书《蜀本草》中有明确记载:“枫脂入地，千年化为琥珀。”而最稀有的品种是树脂内包裹着仍栩栩如生的昆虫遗体或花草植物的化石琥珀，唐朝诗人韦应物就观察到这种特性:“曾为老茯神，本是寒松液。蚊纳落其中，干年犹可觌。”(《咏颂琥珀》）诗中的觌（音狄)，是看见的意思。
因琥珀来自松柏树脂，故带有芳香气味，古罗马时期妇女有将琥珀握在手中把玩的习惯，原因是经由手掌的热度，可让琥珀因变温而散发出迷人的香气。国人自古亦喜闻松香的味道，并视琥珀为珍贵的香料，据古书《西京杂记》记述,汉成帝的皇后赵飞燕最喜欢枕眠琥珀枕头，以吸取幽香气息。在李白的《白头吟》中，也留有“且留琥珀枕，或有梦来时”的绮丽诗句。另在梵语中，琥珀称为阿湿摩揭婆，是佛教的七宝之—，据《般若经》中记载,这种黄棕色的半透明化石是净六尘(色、声、香、味、触、法)、摄六根(眼、耳、鼻、舌、身、意)的禅修圣材。琥珀黄色在佛教密宗修持中是财运的象征。
晶莹的琥珀色是传统颜色名词，多用来形容美酒的色泽，因我国最早出现的酒呈黄橘色，故又称黄酒。而古代骚人墨客则喜欢用剔透的琥珀色来比喻酒色，以增加佳酿的高贵色彩感和浪漫的词情，例如北宋才女李清照的《浣溪沙》之三“莫许杯深琥珀浓，未成沉醉意先融”。酒仙李白也写有“兰陵美酒郁金香，玉碗盛来琥珀光”(《客中行》)。而在李贺的《将进酒》中，诗人干脆把琥珀色指代黄酒:“琉璃钟，琥珀浓，小槽酒滴真朱红。”莹亮透彻的琥珀黄色又可用来形容酒盏及琉璃器皿的色泽;而琥珀色的黄昏是文人描述炎夏时节，落日橙黄如火的绚烂明澈晚景。</t>
  </si>
  <si>
    <t>黄不老</t>
  </si>
  <si>
    <t>调皮了一下，不老是檗的转音，黄檗榨染着色是古老传统,黄檗也被收入了日本传统色。黄不老，就是黄檗,其树皮是黄色染料。黄不老是黄檗的音转，“不老”读作一个音，这个典故出自元代散曲家刘时中的套曲:“剥榆树餐，挑野菜尝。吃黄不老胜如熊掌，蕨根粉以代糇粮。”黄檗树皮可以清热泻火，味道虽是苦的，饥荒年景却也是宝贵食物。</t>
  </si>
  <si>
    <t>栀子黄</t>
  </si>
  <si>
    <t>又名“栀黄”，是一种略带红色的黄。也指国画的一种颜料，提取自栀子果实。栀子黄与杏黄色相近，古代也曾一度禁止民间百姓使用。</t>
  </si>
  <si>
    <t>金埒</t>
  </si>
  <si>
    <t>以铸钱为界的骑射马场,其色想来灿然,其意想来贵气。刘义庆《世说新语·汰侈》曰“于时人多地贵,济(王济)好马射,买地作埒,编钱匝地竟埒。时人号曰‘金沟’”。金钱宝地之色,五花马、千金裘,还可以有一个黄金埒,遇上李白，统统换了酒。</t>
  </si>
  <si>
    <t>库金</t>
  </si>
  <si>
    <t>足金之色，成色有保证,沉稳踏实。亦称足金，出自中国绘画雕塑建筑传统所用的金箔色。它往往是98%的纯金和2%的纯银合成，所以是成色好的纯金色,微发红。金涂佛像、油饰彩画均用到库金和大赤,但大赤多用于佛像衣装,很少用于脸身。紫禁城太和殿之龙为库金、大赤两用。</t>
  </si>
  <si>
    <t>淡灰绿</t>
  </si>
  <si>
    <t>谷黄</t>
  </si>
  <si>
    <t>也称“米黄”，即脱了壳的小米的颜色,黄中略带红。因呈现出一种古雅的色调，常被用作装裱古画的绢色。</t>
  </si>
  <si>
    <t>新禾绿</t>
  </si>
  <si>
    <t>香色</t>
  </si>
  <si>
    <r>
      <rPr>
        <sz val="11"/>
        <color theme="1"/>
        <rFont val="方正粗黑宋简体"/>
        <charset val="134"/>
      </rPr>
      <t>香色又称香染、秋香色，色彩名称源自天竺的植物色染颜色，原指佛家僧侣法衣的服色，即微露赤黑的黄棕色，在我国已有逾干年的使用记录。
香色原为佛家用词，相传是取自印度的干陀树皮汁液把布帛染成黄赤黑混合色，在印度称干陀色( Kantaka)。有说干陀树即安息香树，在佛经中又名干陀罗或犍陀罗，是一种香树，其义为香风、香洁及日香，故称这种布帛色染为香染或香色，亦即袈裟的本色。袈裟一词音译自梵文的Kasaya，为众僧侣法衣的总称，亦具有黄赤的含义。到了7世纪上半叶，唐代高僧玄奘从印度传回来的文书中，谈到当地佛制僧袍的色染时，这样说道:“出家衣服，皆可染作干陀。或为地黄黄屑，或复荆</t>
    </r>
    <r>
      <rPr>
        <sz val="11"/>
        <color theme="1"/>
        <rFont val="宋体"/>
        <charset val="134"/>
      </rPr>
      <t>槃</t>
    </r>
    <r>
      <rPr>
        <sz val="11"/>
        <color theme="1"/>
        <rFont val="方正粗黑宋简体"/>
        <charset val="134"/>
      </rPr>
      <t>黄等;此皆宜以赤土赤石研汁和之。量色深浅，要而省事。”(《寄归传》卷二)印度佛教自东汉时期传入中国并汉化后，历代汉族僧侣法衣用色经历了缁（黑）色、紫色及绯色等不同阶段的改变。直至明代初期，国家为整顿佛教，曾分僧众为禅僧、讲僧和瑜伽僧三类，并规定“禅僧衣黄，讲僧衣红（承传自元制)，瑜伽僧衣葱白”。又因明代重禅，也重黄色，最后导致僧侣法服以非正黄色的香色为尊，佛律并一直沿用至今。
来自天竺的香染色随着佛教传入我国及融入汉文化后，香色渐渐从佛门专用转而深入民间，成为一种代表高贵的衣饰颜色。据说旧时的高级精致色染丝织软纱罗中，就只有四种色泽，那就是香色、银红、松绿与雨过天青色。在《红楼梦》第四十回中，贾母与凤姐为林黛玉张罗住处，建议换制新纱罗窗时就曾述及。
秋香色到了清代变成权贵的崇尚色，是象征地位显赫的色彩。据《清俾类钞》记载，清代初期皇帝、皇后、皇太后参加庆典大礼时所穿的礼服，即规定用杏黄色缎料缝制，袍面上绣以秋香色的五爪龙纹图案以示尊贵。在清代中期，秋香色颜料是清式建筑彩绘的常用色。在京剧舞台上，穿着香色蟒袍戏服的角色代表地位较高且年纪较长的文职官员，蟒袍即朝服或在朝贺宴中高官所穿的礼服。色调较低沉的香色代表沉稳，在舞台上又不失辉煌的效果。</t>
    </r>
  </si>
  <si>
    <t>土黄</t>
  </si>
  <si>
    <r>
      <rPr>
        <sz val="11"/>
        <color theme="1"/>
        <rFont val="方正粗黑宋简体"/>
        <charset val="134"/>
      </rPr>
      <t>土黄色是指土质含钙( Ca)、镁( Mg )、钾(K）等元素的稀松沙砾及粉砂岩的颜色，又泛指我国内陆干燥地带即黄土高原的砂土色泽，为先民见识到的最古老的大自然色调之一，是象征大地的土色。又因我国古有“黄生阴阳”的说法，黄土的色泽后来又被奉为彩色之主、众色之王，且位居四方的正中央，代表正统与至高无上的颜色。土黄色代表质朴、粗犷、原始与阳刚。沙砾质地的黄土英文名称为Loess，其字义来自德文Loss，是疏松的意思。黄土与褐红色的赭土—样，同属非常古老的土质并广布全球各地。横跨青海、甘肃、宁夏、内蒙古、陕西、山西、河南七省区，海拔在800 ~3000米、面积约64万平方千米的黄土高原，是中华古老文明发源地。黄土高原的形成可上溯至200万年前，西部地表不断隆起，以及干燥的气候和长年风化侵蚀累积，逐渐演变成远眺时望之不尽的沟壑山峦、黄土覆盖的地貌，其亦是我国水土流失最严重和不适宜耕种的地区。土黄色应是先民认为洪荒大地混沌初开时的原始大地色调。又由于黄土高原的地势关系，所以形成华夏民族自古即有“天高地厚”的地理空间观念和敬畏天地的崇拜心理。唐代韩愈就写有“天高而明，地厚而平”(《祭董相公文》)。土黄色是先民最早单色崇拜的大自然色彩之一，也是固有的颜色名词:“鳄鱼,其身土黄色,有四足修尾。”(唐朝刘恂《岭表录异》)在我国南方的古建筑彩画中,土黄色多当作底色使用。土黄色染亦用作古代绢画的托衬底色,作用是:“气色湛然可观，经久逾妙。”（明朝周嘉胄《装潢志》)</t>
    </r>
    <r>
      <rPr>
        <sz val="11"/>
        <color theme="9" tint="-0.499984740745262"/>
        <rFont val="方正粗黑宋简体"/>
        <charset val="134"/>
      </rPr>
      <t>如同黄土的颜色,是中国画颜料中重要的颜色，用包裹雄黄或赭石等矿石的黄土制成。多见于中国古建苏式彩画,作为底色使用。</t>
    </r>
  </si>
  <si>
    <t>芥黄</t>
  </si>
  <si>
    <t>郁金裙</t>
  </si>
  <si>
    <t>唐宋服饰流行色，处在诗意、美学巅峰的两个朝代熠熠生辉，搞清楚唐宋的各色锦裙，古装剧也许更好看。郁金裙，姜黄属郁金染色而来的女裙颜色。郁金染色，在北宋药物学家寇宗奭写的《本草衍义》中有记载:“(郁金）今人将染妇人衣最鲜明，然不耐日炙，染成衣,则微有郁金之气。”郁金色是阳光浸润的姜黄色。 唐代的裙子本身就强调裙腰高束、裙摆拖地,女性风姿展露无遗，而裙子的颜色是一道风景线,仅仅黄色系就有淡黄、茶色、缃色、橘黄、姜黄、杏黄、橙黄、正黄、金黄、鹅黄、松花、郁金这些色名。 虽然黄色系的裙子有这么多,但在唐代穿黄裙子是出格的，《新唐书·五行志一》的记载:“杨贵妃常以假鬓为首饰,而好服黄裙，近服妖也。时人为之语曰:‘义髻抛河里，黄裙逐水流。’”</t>
  </si>
  <si>
    <t>乌金</t>
  </si>
  <si>
    <t>蛾黄</t>
  </si>
  <si>
    <t>蚕老而蛾黄,是生命积淀的荣耀,古人也用它代指女子妆容的铅黄。李斗《扬州画舫录》云“黄有嫩黄,如桑初生。杏黄江黄即丹黄。亦曰绿，为古兵服。蛾黄如蚕欲老”。</t>
  </si>
  <si>
    <t>苍黄</t>
  </si>
  <si>
    <r>
      <rPr>
        <sz val="10.5"/>
        <color theme="1"/>
        <rFont val="方正粗黑宋简体"/>
        <charset val="134"/>
      </rPr>
      <t>苍黄即黄而发青的颜色，是一种灰暗的黄色。常见于古代丝麻类服饰，也被形容有苍凉感的事物。</t>
    </r>
    <r>
      <rPr>
        <sz val="10.5"/>
        <color theme="0" tint="-0.499984740745262"/>
        <rFont val="方正粗黑宋简体"/>
        <charset val="134"/>
      </rPr>
      <t>既是间色,也是变色,我们今天说的“仓皇”出自此处。因何仓皇?事情在生长变化,不确定性的跃动是这个颜色的特质。《黄帝内经·素问·五常政大论》载“其色苍黄”。王冰注“色黄之物,外兼苍也”。《墨子·所染》日“染于苍则苍,染于黄则黄，所以入者变，其色也变”。春之初立,一切都在生长变化,以其不确定而命名此色。</t>
    </r>
  </si>
  <si>
    <t>山鸡黄</t>
  </si>
  <si>
    <t>枯绿</t>
  </si>
  <si>
    <t>流黄</t>
  </si>
  <si>
    <t>五间色之一,而且是中央的间色,土克水产生黄克黑的撞击,章太炎竟然能以此标出人种的一种肤色。高似孙《纬略》云“中央土,土色黄,黄加黑为流黄,流黄为中央之间色”。李善《环济要略》云“间色有五: 绀、红、紫、缥、流黄也”。更有趣的是章炳麟《绀书·序种姓上》云“凡地球以上,人种五,其色黄、白、黑、赤、流黄”。 五色是中国传统色的基本体系，所谓东方青、南方赤、中央黄、西方白、北方黑。青是春物初生的木相，赤是夏物半死的火相，黄是方正大地的土相,自是肃杀收敛的金相，黑是闭藏无物的水相，这是五色与五行的对应。上面的五色称为五正色,五行相克又出现五间色:木克土,青黄相杂,绿色;金克木，白青相杂,碧色;火克金,赤白相杂，红色;水克火，黑赤相杂，紫色;土克水,黄黑相杂,流黄。流黄就是这么来的,黄和黑的间色。流黄是有实物具象的，西晋文人左思写《吴都赋》，罗列各种颜色的宝贝:“赪丹明矾,金华银朴，紫贝流黄,缥碧素玉。”朱砂丹、珠矾明、华彩金、璞石银、宝贝紫、流黄泽、缥碧瓦、素白玉，五色斑斓,目不暇接,流黄就是现在说的硫黄。</t>
  </si>
  <si>
    <t>黄流</t>
  </si>
  <si>
    <t>语出《诗经·大雅·早麓》曰“瑟彼玉瓒，黄流在中”。孔颖达疏“酿秬为酒,以郁金之草和之,使之芬香……草名郁金，则黄如金色;酒在器流动,故谓之黄流”。黑黍和郁金香草酿造的酒色，宛如流动的黄金，当年是祭祀众神、赏赐诸侯的真正国酒。</t>
  </si>
  <si>
    <t>栗壳</t>
  </si>
  <si>
    <t>见栗则喜,蒸烤得暖,香甜得食,乾隆帝食栗,愉快地写下“堆盘陈玉几,献岁同春椒”。安徽省图书馆藏抄本《布经》载其染法“栗壳：象斗三十斤、青矾三斤、广灰”。</t>
  </si>
  <si>
    <t>紫瓯</t>
  </si>
  <si>
    <t>闻之有茶香,茶道之精髓在平心静气、审美达观、与自己和解,与天地和解,有如庄子所说“相与为春秋冬夏四时行也”。紫砂茶器色。</t>
  </si>
  <si>
    <t>龙战</t>
  </si>
  <si>
    <t>唯有大地可以承载龙之搏杀,龙血和土壤渗透在一起的颜色,多么壮烈。语出《周易·坤》“龙战于野,其色玄黄”。高亨注“二龙搏斗于野,流血染泥土,成青黄混合之色”。</t>
  </si>
  <si>
    <t>中科院《色谱》</t>
  </si>
  <si>
    <t>嫩菊绿</t>
  </si>
  <si>
    <t>艾背绿</t>
  </si>
  <si>
    <t>葱青</t>
  </si>
  <si>
    <t>14,184,58</t>
  </si>
  <si>
    <r>
      <rPr>
        <sz val="11"/>
        <color theme="1"/>
        <rFont val="方正粗黑宋简体"/>
        <charset val="134"/>
      </rPr>
      <t>指葱白下面淡淡的青色。葱白隐青，草木初生的淡淡青绿，这是生命的初始。</t>
    </r>
    <r>
      <rPr>
        <sz val="11"/>
        <color theme="0" tint="-0.349986266670736"/>
        <rFont val="方正粗黑宋简体"/>
        <charset val="134"/>
      </rPr>
      <t>葱青：淡淡的青绿色</t>
    </r>
  </si>
  <si>
    <t>卵色</t>
  </si>
  <si>
    <t>实为蛋青色，从卵白釉的颜色考据，偏浅绿色、而月白、天青更偏浅蓝色，只能说它们和卵色的颜色意象一致。光风霁月天青色。褚人获《坚瓠补集·补天穿》曰“卵色天,盖谓天青似卵色也”。</t>
  </si>
  <si>
    <t>秘色</t>
  </si>
  <si>
    <t>秘色是指一种诞生于晚唐，却自宋代即失传的越窑精品瓷器——秘色瓷器的釉色。因此有关秘色的含义及其正确色泽，后人只能从古籍中找寻相关的文字描述，也成为过去千百年来一个争议话题，辩论一直持续到20世纪80年代，因真实的秘色瓷器古物出土，这种传闻中久违的秘瓷釉色方得以重见天日及被确认。
“秘色”一名最早出现在晚唐五代十国时期，据传吴越王朝的第二任君主钱元獾曾指定一种烧制自越窑的精致瓷器，专供皇帝赏用，宦民不得享用。秘字原通密，又是一种香草的名称。“秘”在古时又指与皇帝有关的事物，例如:秘驾是天子的车驾，秘馆是皇帝藏书之所，东园秘器是指皇室与显宦死后所用的棺木等。于是，当时吴越国就把这种御用瓷称为秘色瓷，而越窑也被统称为“秘色窑”。
专门烧制瓷器的越窑场址主要分布在浙江的余姚、上虞、绍兴一带，古时为越人的居地，在公元前4世纪的战国时期属越国领地，唐代时改称越州，越窑因而得名。在10世纪的五代十国时期属于吴越国的封土，而该地区所生产的瓷器以青瓷为主，其历史可上溯至东汉时期。到了7世纪唐朝时越窑是全国六大青瓷生产地之一，也是南方青瓷的烧制重镇。越窑一直延续了千年以上，直至宋朝才停烧，遗憾的是，“秘色瓷”亦随着越窑的熄火而停产，最后失传。后人只能从古籍中找到如“金银扣器”“金扣越器”等，或在唐代爱茶诗人徐夤的《贡余秘色茶盏》中，看到“摈翠融青”“月染春水”“薄冰盛绿云”和“嫩荷涵露”等华美诗句，被用来称许这种越窑制品的青润色彩。另外，清代景德镇人蓝浦在他著名的《景德镇陶缘》中，对“秘色”的看法是:“秘色窑，青色近缥碧，与越窑同。”古人称青绿带光泽的色彩为缥色，蓝浦的意思是说秘色的色相应该是接近碧绿色。
而真正的秘色瓷的釉色及其色调直到20世纪才得到证实。1987年，我国考古工作者在陕西省扶风县我国最大的佛教寺院法门寺的宝塔基石下的地宫中，找出一批法器古物，其中有十三件包括盘、碗、碟的古代越窑瓷器，同时在刻有“衣物账”(即清单)的石碑上，清楚载明这些瓷器均属于秘色瓷。据发掘这批古文物的考古工作者描述:“出土的秘色瓷的‘秘色’，就是一种具有明显玉质感、颜色介乎艾色(苍白)与青绿色之间的稀见釉色。”至此，人们总算认识了秘色的本色，传闻干载的秘色终于重现其神秘的色彩。</t>
  </si>
  <si>
    <t>海沬绿</t>
  </si>
  <si>
    <t>淡翠绿</t>
  </si>
  <si>
    <r>
      <rPr>
        <sz val="11"/>
        <color theme="1"/>
        <rFont val="方正粗黑宋简体"/>
        <charset val="134"/>
      </rPr>
      <t>葭</t>
    </r>
    <r>
      <rPr>
        <sz val="11"/>
        <color theme="1"/>
        <rFont val="宋体"/>
        <charset val="134"/>
      </rPr>
      <t>菼</t>
    </r>
  </si>
  <si>
    <r>
      <rPr>
        <sz val="11"/>
        <color theme="1"/>
        <rFont val="方正粗黑宋简体"/>
        <charset val="134"/>
      </rPr>
      <t>葭是未秀之芦，</t>
    </r>
    <r>
      <rPr>
        <sz val="11"/>
        <color theme="1"/>
        <rFont val="宋体"/>
        <charset val="134"/>
      </rPr>
      <t>菼</t>
    </r>
    <r>
      <rPr>
        <sz val="11"/>
        <color theme="1"/>
        <rFont val="方正粗黑宋简体"/>
        <charset val="134"/>
      </rPr>
      <t>是初生之荻，《诗经》里的场景，葭</t>
    </r>
    <r>
      <rPr>
        <sz val="11"/>
        <color theme="1"/>
        <rFont val="宋体"/>
        <charset val="134"/>
      </rPr>
      <t>菼</t>
    </r>
    <r>
      <rPr>
        <sz val="11"/>
        <color theme="1"/>
        <rFont val="方正粗黑宋简体"/>
        <charset val="134"/>
      </rPr>
      <t>丛边走过高颜值的婚嫁队伍、伴娘伴郎高大美丽,前面夸饰新娘的内容已经成为绝唱。即芦与荻,水草灰青色。《诗经·卫风·硕人》曰“葭菼揭揭,庶姜孽孽,庶士有朅”。郭璞注“菼,草色如鵻,在青白之间”。</t>
    </r>
  </si>
  <si>
    <t>少艾</t>
  </si>
  <si>
    <t>寓意美少女的颜色，艾草初成是淡青微白，吾家有女初长成也是青青白白。语出《孟子·万章上》“知好色,则幕少艾”。赵岐注“少,年少也:艾,美好也”。少艾之色，取其艾色之初长成，离意美好之如初见。</t>
  </si>
  <si>
    <t>竹篁绿</t>
  </si>
  <si>
    <t>艾绿</t>
  </si>
  <si>
    <t>169，158，59</t>
  </si>
  <si>
    <r>
      <rPr>
        <sz val="11"/>
        <color theme="1"/>
        <rFont val="方正粗黑宋简体"/>
        <charset val="134"/>
      </rPr>
      <t xml:space="preserve">艾绿是指艾草的颜色。艾草在我国历史久远，是重要的民生植物。艾绿色是一种绿中偏苍白的自然色泽，是中华民族历来最熟识的色彩之一。
艾草为多年生草本植物，广布亚洲各地，我国早在2500多年前的东周时期已有记载:“彼采艾兮!一日不见,如三岁兮!”(《诗经·王风·采葛》）古诗中记叙了先民采艾的活动，也借喻采艾姑娘在劳动中仍不忘思念情人，芳心泛起一日不见如隔三秋的殷切情思。古时艾草又名冰台，《说文解字》曰:“艾，冰台也。”另晋人张华所著的一部奇书《博物志》中亦记有“削冰令圆，举以向日，以艾承其影得火，故号冰台”。文章反映了在玻璃造的凹凸镜片发明之前，古人已懂得以削成圆形的透明冰块举起向着太阳，经由阳光聚焦原理变换成热能后，可以把置放在冰块下的艾草点燃。在民间习俗中，每逢农历五月初五，家家户户都会割取田野间的艾条悬挂在大门外以辟邪，实质是艾草有特殊的气味，在仲夏间有驱蚊虫、杀菌防毒的功效，这个南方的传统习俗一直延续至今。
艾草色绿，旧时可用来染绿色，故也借指绿色。艾绶是指古时放印章的绿色布袋。少艾是指年轻貌美的少女，如“知好色，则慕少艾”(《孟子·万章上》)。在南宋人庄季裕的《鸡肋编》卷上中，对青春少女的美艳装扮有这样的描述:“……有茶肆妇人，少艾，鲜衣靓妆，银钗簪花……”而“夜如何其?夜未艾”(《诗经·小雅·庭燎》）中的“艾”字并非指颜色，而是表示仍是晚间，夜色未过的意思。
属于冷调绿色的艾草用处很多，古代男子也有将艾草编成头饰以辟邪及增加美感的习惯。《西游记》第十三回:“……头上戴一顶艾叶花斑豹皮帽，身上穿一领羊绒织锦叵罗衣，腰间束一条狮蛮带，脚下着一对麂皮靴。”
艾绿也是古瓷中的一种釉色专称，以及丝染布帛中的常用色。此外新鲜的青艾叶可制作食物，在江南的传统小吃中，有一种艾绿色的糍粑，是以鲜嫩的艾草和糯米作为主要原料，再以花生末、芝麻及白糖等做馅料，经蒸熟后即可食用。这种甜品原为清明节前后的民间应节小点心，至今仍流传于广东、福建及台湾一带。而艾灸则是古传中医疗法，是把晒干的艾草老叶揉成艾绒后，经由燃烧所产生的气味与热度去熏、烫穴道，以达到治疗风寒、祛病的效果。
</t>
    </r>
    <r>
      <rPr>
        <sz val="11"/>
        <color theme="1" tint="0.349986266670736"/>
        <rFont val="方正粗黑宋简体"/>
        <charset val="134"/>
      </rPr>
      <t>发白的绿色。艾蒿叶面有白色绒毛覆盖,故有此色。宋代张舜民有“香为桃蕊色如轴，蟹眼松声浮艾绿”之句。</t>
    </r>
    <r>
      <rPr>
        <sz val="11"/>
        <color theme="0" tint="-0.499984740745262"/>
        <rFont val="方正粗黑宋简体"/>
        <charset val="134"/>
      </rPr>
      <t>艾绿：艾草的颜色。偏苍白的绿色。</t>
    </r>
  </si>
  <si>
    <t>姚黄</t>
  </si>
  <si>
    <t>214，188，70</t>
  </si>
  <si>
    <r>
      <rPr>
        <sz val="11"/>
        <color theme="1"/>
        <rFont val="方正粗黑宋简体"/>
        <charset val="134"/>
      </rPr>
      <t>从著名的牡丹花品种“姚黄”而来,呈亮丽的浅黄色。宋人曾有诗赞姚黄牡丹曰:“世外无双种，人间绝品黄。”姚黄色也非常鲜洁、美丽。</t>
    </r>
    <r>
      <rPr>
        <sz val="11"/>
        <color theme="0" tint="-0.499984740745262"/>
        <rFont val="方正粗黑宋简体"/>
        <charset val="134"/>
      </rPr>
      <t>洛阳牡丹的花王之色，千年传承,王者荣耀。洛阳牡丹花王之花色,千叶黄花。周师厚《洛阳花木记》载“姚黄,千叶黄花也。色极鲜洁,精采射人,有深紫檀心,近瓶青、旋心一匝,与瓶并色”。余鹏年《曹州牡丹谱》载“姚黄,俗名落英黄。此花黄胎护根，叶浅绿色,疏长过于花头,茗拥若覆。初开微黄,垂残愈黄”。</t>
    </r>
  </si>
  <si>
    <t>山岚</t>
  </si>
  <si>
    <t>其色山雾出岫，其意荡涤心胸。山间雾气的颜色，因时而变，叠翠而生,此色入画。</t>
  </si>
  <si>
    <t>绮钱</t>
  </si>
  <si>
    <t>青苔似古钱,故别称绮钱。古钱样貌的青苔色或者荷叶色，姜特立有好句，“湖边柳色媚清涟，湖上新荷叠绮钱”。</t>
  </si>
  <si>
    <t>冰台</t>
  </si>
  <si>
    <t>《尔雅·释草》曰“艾,冰台”。郭璞注“今艾蒿”。艾蒿之未秀、少艾之色。</t>
  </si>
  <si>
    <t>麹尘</t>
  </si>
  <si>
    <r>
      <rPr>
        <sz val="11"/>
        <color theme="1"/>
        <rFont val="方正粗黑宋简体"/>
        <charset val="134"/>
      </rPr>
      <t>酒曲生菌,青白如尘。通过日方资料考据，日本传统色的青白橡与</t>
    </r>
    <r>
      <rPr>
        <sz val="11"/>
        <color theme="1"/>
        <rFont val="宋体"/>
        <charset val="134"/>
      </rPr>
      <t>麹</t>
    </r>
    <r>
      <rPr>
        <sz val="11"/>
        <color theme="1"/>
        <rFont val="方正粗黑宋简体"/>
        <charset val="134"/>
      </rPr>
      <t>尘同色，即青白相间的浅绿色，</t>
    </r>
    <r>
      <rPr>
        <sz val="11"/>
        <color theme="1"/>
        <rFont val="宋体"/>
        <charset val="134"/>
      </rPr>
      <t>麹</t>
    </r>
    <r>
      <rPr>
        <sz val="11"/>
        <color theme="1"/>
        <rFont val="方正粗黑宋简体"/>
        <charset val="134"/>
      </rPr>
      <t>尘出自酒曲生尘，这曲或许就是酿绿酒的呀。亦作曲金。对应衣服和初生柳叶时，是淡黄色的。对应其他叶和江河水时，黄绿色更合理。古代色名的色值区间比较宽泛，黄到黄绿都是有可能的。</t>
    </r>
  </si>
  <si>
    <t>欧碧</t>
  </si>
  <si>
    <t>绿牡丹,古来稀,价在牡丹花王“姚黄”之上,此色贵矣。洛阳牡丹花色。陆游《天彭牡丹谱》载“碧花只一品，名曰欧碧。其花浅碧，而开最晚。独出欧氏,故以姓著”。张邦基《墨庄漫录》载“洛中花工,宣和中，以药壅培于白牡丹,如玉千叶、一百五、玉楼春等根下。次年，花作浅碧色,号欧家碧,岁贡禁府,价在姚黄上。尝赐近臣,外廷所未识也”。</t>
  </si>
  <si>
    <t>槐花黄绿</t>
  </si>
  <si>
    <t>玉簪绿</t>
  </si>
  <si>
    <t>嘉陵水绿</t>
  </si>
  <si>
    <t>青古</t>
  </si>
  <si>
    <t>从佛山金箔相关著作里考证的颜色，名为青古,用于装饰青叶之象。金箔色之一种,出自佛山金箔品种。《佛山忠义乡志》云“金箔行,为本乡有名,出品有青、赤二种……粤东佛山市李昌盛老牌”。装金箔的木箱有广告语云“本号营业开张百有余年,拣选十足赤金叶精工督造,加厚大度净赤金薄、彩色青金，如假包换，请认准老牌为记。铺在佛山市福禄马路内,福新街南向开张”。彩色青金即青古,主要用于木雕树叶的漆贴,表现树叶的青色。</t>
  </si>
  <si>
    <t>缥</t>
  </si>
  <si>
    <t>缥：绿色而微白</t>
  </si>
  <si>
    <t>明绿</t>
  </si>
  <si>
    <t>醽醁</t>
  </si>
  <si>
    <r>
      <rPr>
        <sz val="11"/>
        <color theme="1"/>
        <rFont val="方正粗黑宋简体"/>
        <charset val="134"/>
      </rPr>
      <t>灯可谓红,酒可谓绿，古代名酒如</t>
    </r>
    <r>
      <rPr>
        <sz val="11"/>
        <color theme="1"/>
        <rFont val="宋体"/>
        <charset val="134"/>
      </rPr>
      <t>醽醁</t>
    </r>
    <r>
      <rPr>
        <sz val="11"/>
        <color theme="1"/>
        <rFont val="方正粗黑宋简体"/>
        <charset val="134"/>
      </rPr>
      <t>、兰生、翠涛、玉薤,皆是绿酒。</t>
    </r>
    <r>
      <rPr>
        <sz val="11"/>
        <color theme="1"/>
        <rFont val="宋体"/>
        <charset val="134"/>
      </rPr>
      <t>醽醁</t>
    </r>
    <r>
      <rPr>
        <sz val="11"/>
        <color theme="1"/>
        <rFont val="方正粗黑宋简体"/>
        <charset val="134"/>
      </rPr>
      <t>，亦称酃渌或</t>
    </r>
    <r>
      <rPr>
        <sz val="11"/>
        <color theme="1"/>
        <rFont val="宋体"/>
        <charset val="134"/>
      </rPr>
      <t>醽</t>
    </r>
    <r>
      <rPr>
        <sz val="11"/>
        <color theme="1"/>
        <rFont val="方正粗黑宋简体"/>
        <charset val="134"/>
      </rPr>
      <t>渌,所谓灯红酒绿。盛弘之《荆州记》云“渌水出豫章康乐县,其间乌程乡有酒官,取水为酒，酒极甘美，与湘东酃湖酒年常献之,世称</t>
    </r>
    <r>
      <rPr>
        <sz val="11"/>
        <color theme="1"/>
        <rFont val="宋体"/>
        <charset val="134"/>
      </rPr>
      <t>醽醁</t>
    </r>
    <r>
      <rPr>
        <sz val="11"/>
        <color theme="1"/>
        <rFont val="方正粗黑宋简体"/>
        <charset val="134"/>
      </rPr>
      <t>酒”。唐代文学家柳宗元在《龙城录》中记载:“魏左相能治酒，有名曰醽醁、翠涛，常以大金罂内贮盛，十年饮不败其味，即世所未有。太宗文皇帝常有诗赐公，称:‘醽醁胜兰生，翠涛过玉薤。千日醉不醒，十年味不败。’”魏徵所酿醽醁、翠涛，酒质十年不坏，李世民赋诗赞赏。</t>
    </r>
  </si>
  <si>
    <t>翠樽</t>
  </si>
  <si>
    <t>语出曹植《七启》“于是盛以翠樽,酌以雕觞。浮蚁鼎沸,酷烈馨香”。印象中见过某件耀州窑青釉色与翠樽色最近，而耀州窑又始自越州窑,唐宋的好颜色言之不尽。</t>
  </si>
  <si>
    <t>橄榄石绿</t>
  </si>
  <si>
    <t>草原远绿</t>
  </si>
  <si>
    <t>芦苇绿</t>
  </si>
  <si>
    <t>粉绿</t>
  </si>
  <si>
    <t>苍葭</t>
  </si>
  <si>
    <t>初生芦苇之绿“兼葭苍苍，白露为霜，所谓伊人，在水一方”。</t>
  </si>
  <si>
    <t>苹果绿</t>
  </si>
  <si>
    <t>兰苕</t>
  </si>
  <si>
    <t>兰苕绿,本义是兰花叶绿。天上翡翠仙人衣，人间青精玉田米。出与翡翠同框，入则唇齿留香不管是兰书叶环是青精米，都不是俗物。</t>
  </si>
  <si>
    <t>浪花绿</t>
  </si>
  <si>
    <t>青粲</t>
  </si>
  <si>
    <r>
      <rPr>
        <sz val="11"/>
        <color theme="1"/>
        <rFont val="方正粗黑宋简体"/>
        <charset val="134"/>
      </rPr>
      <t>见过一缸小站新米。淡绿莹莹。清香沁润，也许大学的青春就是这个颜色。碧梗米之色。王粲《七释》日“乃有西旅游梁，御宿青粲，瓜州红</t>
    </r>
    <r>
      <rPr>
        <sz val="11"/>
        <color theme="1"/>
        <rFont val="宋体"/>
        <charset val="134"/>
      </rPr>
      <t>䵂</t>
    </r>
    <r>
      <rPr>
        <sz val="11"/>
        <color theme="1"/>
        <rFont val="方正粗黑宋简体"/>
        <charset val="134"/>
      </rPr>
      <t>，参糅相半，软滑膏润，入口流散”。谢塘《食味杂咏》载“京米,近京所种统称京米,而以玉田县产者为良,粒细长,微带绿色,炊时有香”。</t>
    </r>
  </si>
  <si>
    <t>渌波</t>
  </si>
  <si>
    <t>其色绿水荡漾,其意思绪绵延。绿水荡漾的颜色，此色亦可入画。</t>
  </si>
  <si>
    <t>春辰</t>
  </si>
  <si>
    <t>呼应春天的辰星之色,浩荡字宙中给出了春天的暗示，一点点希望,一点微芒。</t>
  </si>
  <si>
    <t>葱绿</t>
  </si>
  <si>
    <t>158，188，25</t>
  </si>
  <si>
    <r>
      <rPr>
        <sz val="11"/>
        <color theme="1"/>
        <rFont val="方正粗黑宋简体"/>
        <charset val="134"/>
      </rPr>
      <t xml:space="preserve">葱绿为传统颜色名词，色调属绿中偏微黄，名称源自可做蔬菜或调味品的多年生草本植物青葱的色泽。
绿色象征旺盛生机，亦予人清丽恬静的色感，前人因此联想到青春韶光。在古典文学中绿常用来形容年轻活泼的女子，尤其是色阶与明亮度高的绿色，像松花绿、艾绿、豆绿等，都是代表豆蔻年华的柔美女性服色，而葱绿色多用在汗巾子、长裙、抹胸与短袄的服饰上。在曹雪芹的《红楼梦》中，有一段这样的描述:“那晴雯，只穿着葱绿杭绸小袄,红绸子小衣儿，披着头发，骑在芳官身上。”(第七十回)又在同书的第三十五回中借由贾宝玉与莺儿的对话，道出作者对冷暖色调相匹配的审美观念:“莺儿道:‘汗巾子是什么颜色的?’宝玉道:‘松花配什么?’莺儿道:‘松花配桃红?’宝玉笑道:‘这才娇艳，再要雅淡之中带些娇艳。’莺儿道:‘葱绿柳黄是我最爱的。’宝玉道:‘也罢了，也打一条桃红，再打一条葱绿。
葱绿亦用来形容草木的颜色，如葱茏是指树木苍翠茂盛，象征炎夏中大自然的色彩。青葱叶子纤幼细长呈圆筒中空状，根白色,旧时又喻为女子纤细雪白的手指，“指如削葱根，口如含朱丹”(东汉乐府《孔雀东南飞》)。葱绿又是传统国画的用色，是以黄丹调蓝靛的混合色，多用来渲染草叶的新鲜色调。
</t>
    </r>
    <r>
      <rPr>
        <sz val="11"/>
        <color theme="1" tint="0.349986266670736"/>
        <rFont val="方正粗黑宋简体"/>
        <charset val="134"/>
      </rPr>
      <t>偏微黄的绿色,明亮度较高。用作服色，显得娇俏、活泼，因此深受古时女子的青睐。《红楼梦》中凤姐、尤三姐、晴雯都有葱绿色服饰。</t>
    </r>
    <r>
      <rPr>
        <sz val="11"/>
        <color theme="0" tint="-0.499984740745262"/>
        <rFont val="方正粗黑宋简体"/>
        <charset val="134"/>
      </rPr>
      <t>葱绿：1，浅绿又略显微黄的颜色2，草木青翠的样子</t>
    </r>
  </si>
  <si>
    <t>翡翠色</t>
  </si>
  <si>
    <t>0，104，112</t>
  </si>
  <si>
    <r>
      <rPr>
        <sz val="11"/>
        <color theme="1"/>
        <rFont val="方正粗黑宋简体"/>
        <charset val="134"/>
      </rPr>
      <t>翡翠原本是鸟名，即翡鸟与翠鸟，翡翠色是指这两种鸟儿的美丽羽毛颜色。东汉时期的杨孚在《异物志》中形容说“翠鸟形如燕，赤而雄曰翡,青而雌曰翠”, 也就是说雄鸟羽毛颜色红艳，称为翡鸟;雌鸟羽毛鲜绿，则称作翠鸟。后来发现一种矿石，如鸟羽般兼具红、绿色彩，于是把它称为“翡翠”。
矿产翡翠是一种极为珍贵的玉石，而世界上超过90%的翡翠产自缅甸，故又称其为缅玉。翡翠玉因其色泽酷似翡翠鸟的羽毛颜色而得名。这种玉石学名为硬玉，属于矿石中的辉石类，其化学成分为硅酸铝钠( NaAlSi2O6。 )，质地细密晶莹，清润呈半透明状，具有玻璃光泽，硬而不脆，有绿、红、黄、紫等颜色，其中又以颜色犹如雨后的冬青树叶在阳光照射下所辉映出的深绿色者为最佳，也最昂贵。
根据古书记载，翡翠玉石在东汉永元年间自缅甸经云南永昌（今保山)传入，是掸国(今缅甸东北部孟拱、孟密一带)向中原进贡的名贵矿石。但是这种珍奇的“绿色石头”在唐、宋年间并未受到重视。直到明朝官府在云南保山近中缅边界的腾冲县筑城屯兵后，缅甸玉石的买卖才开始活络起来，皇帝甚至派遣太监亲信常驻永昌腾冲，专门负责为皇室采购珠宝玉石事宜，才使得当时大量的缅玉进入我国，并以腾冲为玉石选集中心及加工的地方，然后经由大理、昆明转销内地。
到了明末清初，开采与打磨雕琢翡翠矿石已成为非常专业的行业。至康熙年间，翡翠玉器已荣升为京城中达官贵人身份与地位的象征，举凡朝服胸前的朝珠、官帽顶上的翎管，以及戴在手指上的扳指,都极尽所能将最好的翠玉拿出来，以炫耀身份与家财。此外，翡翠饰件也同样受到后妃及贵妇的青睐,讨喜的翡翠绿色渐渐列入传统色系,其表征荣华富贵的色彩含义至今未曾改变过。</t>
    </r>
    <r>
      <rPr>
        <sz val="11"/>
        <color theme="0" tint="-0.349986266670736"/>
        <rFont val="方正粗黑宋简体"/>
        <charset val="134"/>
      </rPr>
      <t>翡翠色：1，翡翠鸟羽毛的青绿色。 2，翡翠宝石的颜色。 (注：C-Y（小于等于)30 的系列色彩，多与白色配合以体现清新明丽感觉，与黑色配合效果不好：该色个性柔弱，会被黑色牵制。</t>
    </r>
  </si>
  <si>
    <t>柳黄</t>
  </si>
  <si>
    <t>柳黄：像柳树芽那样的浅黄色</t>
  </si>
  <si>
    <t>橄榄黄绿</t>
  </si>
  <si>
    <t>嫩绿</t>
  </si>
  <si>
    <t>嫩绿：像刚长出的嫩叶的浅绿色</t>
  </si>
  <si>
    <t>翠缥</t>
  </si>
  <si>
    <t>语出《楚辞，九怀，通路》“红采兮缥衣，翠缥分为裳”。青云与翠烟、飘渺不定。得来是人间不值得的物哀与幽玄。</t>
  </si>
  <si>
    <t>豆青</t>
  </si>
  <si>
    <t>豆青：浅青绿色</t>
  </si>
  <si>
    <t>水绿</t>
  </si>
  <si>
    <t>浅绿色,为柔和清雅的水色。古人好以水绿喻春色,欧阳修就有“池塘水绿春微暖”之句。</t>
  </si>
  <si>
    <t>松霜绿</t>
  </si>
  <si>
    <t>毛绿</t>
  </si>
  <si>
    <t>柳绿</t>
  </si>
  <si>
    <t>柳绿：柳叶的青绿色</t>
  </si>
  <si>
    <t>田园绿</t>
  </si>
  <si>
    <t>碧滋</t>
  </si>
  <si>
    <t>李太白总是不同凡响,松花色和碧滋色他一语以概之,“轻如松花落金粉,浓似苔锦含碧滋”。</t>
  </si>
  <si>
    <t>翠涛</t>
  </si>
  <si>
    <r>
      <rPr>
        <sz val="11"/>
        <color theme="1"/>
        <rFont val="方正粗黑宋简体"/>
        <charset val="134"/>
      </rPr>
      <t>玉手舞动银筝柱,绿酒荡漾金杯卮，海天盛宴,“劝君金曲卮,勿谓朱颜酡”。古之酒绿。李世民《赐魏微诗》咏“</t>
    </r>
    <r>
      <rPr>
        <sz val="11"/>
        <color theme="1"/>
        <rFont val="宋体"/>
        <charset val="134"/>
      </rPr>
      <t>醽醁</t>
    </r>
    <r>
      <rPr>
        <sz val="11"/>
        <color theme="1"/>
        <rFont val="方正粗黑宋简体"/>
        <charset val="134"/>
      </rPr>
      <t>胜兰生,翠涛过玉薤”。翠涛,唐代丞相魏微所酿绿酒的颜色。唐代文学家柳宗元在《龙城录》中记载:“魏左相能治酒，有名曰醽醁、翠涛，常以大金罂内贮盛，十年饮不败其味，即世所未有。太宗文皇帝常有诗赐公，称:‘醽醁胜兰生，翠涛过玉薤。千日醉不醒，十年味不败。’”魏徵所酿醽醁、翠涛，酒质十年不坏，李世民赋诗赞赏。</t>
    </r>
  </si>
  <si>
    <t>芽绿</t>
  </si>
  <si>
    <t>蔻梢绿</t>
  </si>
  <si>
    <t>梧枝绿</t>
  </si>
  <si>
    <t>青楸</t>
  </si>
  <si>
    <t>楸乃美木，青乃正色，是以其色秀美端正。</t>
  </si>
  <si>
    <t>碧绿</t>
  </si>
  <si>
    <t>碧绿：鲜艳的青绿色</t>
  </si>
  <si>
    <t>豆绿</t>
  </si>
  <si>
    <t>158，208，72</t>
  </si>
  <si>
    <r>
      <rPr>
        <sz val="11"/>
        <color theme="1"/>
        <rFont val="方正粗黑宋简体"/>
        <charset val="134"/>
      </rPr>
      <t xml:space="preserve">豆绿是传统颜色名词，属于色彩偏黄的一种浅绿色，因色泽犹如青豆色，故名。豆绿呈色鲜明，充满青春气息，色感轻快活泼，是古代女子爱用的服装选色之一。
我国的染织工艺历史悠久，先民自商朝起，已懂得利用植物中的染色素，以浸染的方法获取青、红、黄三种色染纤维织物。随着染事技术的进步，使用染材进行套染的技术在西周时期已出现。套染是指运用两种或两种以上的不同染色剂进行先后色染，从而获得第三种颜色。例如以黄色染料浸染后，再用蓝草套染，就会染出绿色的丝线或织物。织染技术到了唐代已相当完善，现代考古学者对新疆吐鲁番出土的唐代丝织物所做的色谱分析，检验出青、绿、黄等色系各深浅不同的色阶的颜色共24种，其中就包括了豆绿色。
在古瓷中，豆绿色釉的瓷器与天蓝、天青、月白并列为北宋官窑——汝窑烧制的名瓷之一，以其高雅、古朴的色彩闻名。
在名贵的翡翠玉器中，深浅不同的绿色有很多种，其中就包括偏黄色的豆绿翡翠。在文房四宝的墨砚中，有一种盛行于清代的名砚叫贺兰砚，因产自宁夏回族自治区银川市西郊的贺兰山小滚钟口地区而得名。贺兰石的特色是天然就具有深紫与豆绿两色，清雅古朴。用它做的砚台，据说磨出的墨汁细腻有光泽、久放不干不臭，因而甚得清代文人墨客的钟爱。
豆绿色也可用来形容风和日丽下，色彩偏黄绿的江水颜色。《边城》中，就有这样一段描述:“……河中水皆豆绿，天气又那么明朗….…”
</t>
    </r>
    <r>
      <rPr>
        <sz val="11"/>
        <color theme="1" tint="0.349986266670736"/>
        <rFont val="方正粗黑宋简体"/>
        <charset val="134"/>
      </rPr>
      <t>如青豆的浅黄绿色。色彩鲜明,为古代女子喜爱之服色。《红楼梦》中王熙凤就有一条豆绿色宫绦。也是传统颜色釉之一，以色泽高雅著称。</t>
    </r>
    <r>
      <rPr>
        <sz val="11"/>
        <color theme="0" tint="-0.499984740745262"/>
        <rFont val="方正粗黑宋简体"/>
        <charset val="134"/>
      </rPr>
      <t>豆绿：浅黄绿色</t>
    </r>
  </si>
  <si>
    <t>麦苗绿</t>
  </si>
  <si>
    <t>淡绿</t>
  </si>
  <si>
    <t>蛙绿</t>
  </si>
  <si>
    <t>青色</t>
  </si>
  <si>
    <t>青色：1，一类带绿的蓝色,中等深浅,高度饱和。 3，本义是蓝色。 4，一般指深绿色。 5，也指黑色。 6，四色印刷中的一色。 2，特指三补色中的一色。</t>
  </si>
  <si>
    <t>葱黄</t>
  </si>
  <si>
    <t>葱黄：黄绿色，嫩黄色</t>
  </si>
  <si>
    <t>青梅</t>
  </si>
  <si>
    <t>青梅未及黄,煮酒正当时。青梅煮酒,不论英雄论颜色,色谱若如封神榜,青梅好比魔礼青,话说四大天王之魔礼青,面如活蟹,须如铜线。</t>
  </si>
  <si>
    <t>人籁</t>
  </si>
  <si>
    <t>语出(庄子，齐物论》“地籁则众窍是已，人籁则此竹是已，敢问天籁?”竹管之音群起，翠色之意在此。唯有竹声称人籁，人籁总输天与地，远离机巧的人心可以是这个颜色。</t>
  </si>
  <si>
    <t>雀梅</t>
  </si>
  <si>
    <t>张自烈《正字通·木部》日“橪，或日雀梅。实小黑而圆。皮可染绿”。其果实的皮是应用不广的绿色染材。</t>
  </si>
  <si>
    <t>绿沈</t>
  </si>
  <si>
    <t>？更深？</t>
  </si>
  <si>
    <t>12,137,24</t>
  </si>
  <si>
    <r>
      <rPr>
        <sz val="11"/>
        <color theme="1"/>
        <rFont val="方正粗黑宋简体"/>
        <charset val="134"/>
      </rPr>
      <t>亦作绿沉。绿色深沉，古雅幽朴，这是桃李不言、深水静流的意境。方以智《通雅·衣服·彩色》日“绿沈,言其色深沈,正今之苦绿色”。《南史》:“任</t>
    </r>
    <r>
      <rPr>
        <sz val="11"/>
        <color theme="1"/>
        <rFont val="宋体"/>
        <charset val="134"/>
      </rPr>
      <t>昉</t>
    </r>
    <r>
      <rPr>
        <sz val="11"/>
        <color theme="1"/>
        <rFont val="方正粗黑宋简体"/>
        <charset val="134"/>
      </rPr>
      <t>卒于官，武帝闻之，方食西苑绿沈瓜，投之于盘，悲不自胜。”贤臣任</t>
    </r>
    <r>
      <rPr>
        <sz val="11"/>
        <color theme="1"/>
        <rFont val="宋体"/>
        <charset val="134"/>
      </rPr>
      <t>昉</t>
    </r>
    <r>
      <rPr>
        <sz val="11"/>
        <color theme="1"/>
        <rFont val="方正粗黑宋简体"/>
        <charset val="134"/>
      </rPr>
      <t>在任上去世,梁武帝听到他的死讯时,正在吃西苑绿沈瓜，立时把瓜扔到盘子里,悲痛难禁。绿沈瓜就是西瓜,西瓜皮的颜色就是绿沈的苦绿色。</t>
    </r>
    <r>
      <rPr>
        <sz val="11"/>
        <color theme="0" tint="-0.349986266670736"/>
        <rFont val="方正粗黑宋简体"/>
        <charset val="134"/>
      </rPr>
      <t>绿沉：深绿</t>
    </r>
  </si>
  <si>
    <t>瓦松绿</t>
  </si>
  <si>
    <r>
      <rPr>
        <sz val="11"/>
        <color theme="1"/>
        <rFont val="宋体"/>
        <charset val="134"/>
      </rPr>
      <t>菉</t>
    </r>
    <r>
      <rPr>
        <sz val="11"/>
        <color theme="1"/>
        <rFont val="方正粗黑宋简体"/>
        <charset val="134"/>
      </rPr>
      <t>竹</t>
    </r>
  </si>
  <si>
    <t>即荩草。《草木疏》云“有草似竹,高五六尺,淇水侧人谓之菉竹也”。这是夏天最后的颜色，也是夏天常见的植物颜色,虽然幼小，却有着努力向竹子看齐的生命力。</t>
  </si>
  <si>
    <t>风入松</t>
  </si>
  <si>
    <t>其色出自词牌名，此调名源自嵇康所作古琴曲《风入松》。梦觉风入松,元知万事空,余情残醉，醒来了无痕。</t>
  </si>
  <si>
    <t>竹青</t>
  </si>
  <si>
    <t>120，146，98</t>
  </si>
  <si>
    <r>
      <rPr>
        <sz val="11"/>
        <color theme="1"/>
        <rFont val="方正粗黑宋简体"/>
        <charset val="134"/>
      </rPr>
      <t xml:space="preserve">竹青色是指植物竹子的竿身与叶子的颜色，色调稳重含蓄，优雅朴实。青竹是昔日文人欣赏与吟哦的对象，而竹青色是花草国画中的常用颜色，又是古时成熟女性的衣裳惯常服色。
竹子是生长在南方的四季常青植物，在纸张未发明之前，以竹竿制成的竹简、竹帛是古代主要的书写用材。又因竹子竿身透挺、有韧性兼长节，故自古被借喻为做人所追求的高尚情操与气节，为文人与画家所赏识的植物之一。连大文豪兼老饕的苏轼在肥猪肉与青竹的取舍之间，也留下“可使食无肉，不可居无竹”的为人要旨之话语。在古文中，诗人大多爱用颜色名词——“绿”字来形容竹子的嫩绿色泽，例如白居易的《齐物二首》“竹身三年老，竹色四时绿”。在叠字对联中亦有“雪里白梅，雪映白梅梅映雪。风中绿竹，风翻绿竹竹翻风”的绝妙配对。
竹青也是酒名，即竹叶青，是起源于南方的古酿，为历代酒客追捧的佳品，主要是以70°的汾酒为基础，再以竹叶、栀子、檀香、当归、陈皮、公丁香、冰糖等12种材料浸酿而成，酒色呈浅黄绿色。竹叶青酒早在3世纪西晋时期的古文献中就已出现，到了唐宋时期已有相当高的产量，且遍及大江南北，在白居易的《忆江南》中亦有提及:“江南忆，其次忆吴宫。吴酒一杯春竹叶，吴娃双舞醉芙蓉，早晚复相逢。”当年诗人在江南所喝的是酿自吴地苏州—带的竹叶青。到了明清时期，竹叶青已成为宫廷中的特选佳酿;而旧时的酒家又会在店门外挂上“酌来竹叶凝杯绿，饮罢桃花上脸红”的对联，以招徕买醉的顾客。
竹青色又是古代建筑的屋顶瓦面与屋檐装饰用的瓦当的颜色。在传统常用语中形容屋宇色彩的“红墙绿瓦”，其中的绿就包含竹青色。
</t>
    </r>
    <r>
      <rPr>
        <sz val="11"/>
        <color theme="0" tint="-0.349986266670736"/>
        <rFont val="方正粗黑宋简体"/>
        <charset val="134"/>
      </rPr>
      <t>竹青：竹子的绿色</t>
    </r>
  </si>
  <si>
    <t>铜绿</t>
  </si>
  <si>
    <t>铜绿是指铜金属经过长时间暴露在空气中，表层慢慢与氧气及二氧化碳、水结合后，发生化学反应所产生的一层铜锈，因锈色呈鲜明的绿色，故称为铜绿，化学名称为碱式碳酸铜。铜绿在传统色彩中历史久远，它是标志着华夏文化从石器时代过渡到青铜器时代文化进程的工艺颜色。
青铜是指红铜、锡及铅的合金，是金属冶铸史上—项伟大的发明，又因这种合金的颜色偏青灰，故称青铜。商周时期是青铜器时代的鼎盛时期。由于冶炼技术的发展与进步，青铜被广泛用来铸造君主所用的祭祀用具、礼器、兵器、装饰品以及民生用具。青铜文化前后涵盖了多年，直到秦汉时期才逐渐被铁金属、漆和瓷等其他材料所取代，青铜文明渐渐淡出了历史舞台，却为后世留下了无数造诣非凡的艺术珍品。也正因古铜历经漫长岁月所产生的铜锈（铜绿)具有保护古铜器皿、使其不再容易被腐蚀的作用（铁锈却不会有这种功能），才能让那些被埋在地下数千年的国宝如毛公鼎、后母戊大方鼎、编钟等许多无价青铜古物，完好无损地保存至今。
铜绿也是传统的绘画用颜料，可经由人造方法获得。以前的人工制法是:先把黄铜捶打成薄板片，再用醋浸泡，然后放在粗糠内，用微火烤熏，使其产生铜绿膜层，然后刮取铜绿以备用，这也是我国最早发明的化学颜料。而把铜绿作为绿色颜料使用，根据现代学者考证以我国的西北地区为最早;应用最广泛的是位于甘肃河西走廊各处的古石窟和古墓室内的彩绘壁画;用量最多及时间最长的是敦煌石窟，从北凉时期(397—439）到元代的近干年间，一直在使用。颜料“铜绿”作为商品买卖的文字记载，以敦煌莫高窟藏经洞文书为最早:“铜绿1两，上直钱35文，次30文，下25文。”但由于古代用铜、醋造的铜绿颜料历久会褪色，后来多由来自波斯国的矿物色料石绿所取代，成为佛洞石窟中彩绘壁画的主要绿色用料。</t>
  </si>
  <si>
    <t>蛋白石绿</t>
  </si>
  <si>
    <t>苍色</t>
  </si>
  <si>
    <t>190，126，74</t>
  </si>
  <si>
    <r>
      <rPr>
        <sz val="11"/>
        <color theme="1"/>
        <rFont val="方正粗黑宋简体"/>
        <charset val="134"/>
      </rPr>
      <t>苍字在古汉文中属于颜色名词，代表着丰富且多样化的色彩，分别是深青（绿）色、深蓝色、灰白色、灰黑色和墨绿色。
苍字表示广袤的绿草色，如“苍,草色也”(《说文解字》)。苍又指老松柏树的针叶颜色，即深绿色。苍色又形容带有光泽的墨绿色，古人称飞蝇为苍蝇，原因是在阳光下细看这种昆虫的身体，确实会折射出墨绿色的亮泽色彩，故名。苍也可用来形容夜间天上的星星所闪烁的青蓝色光芒。《史记·天官书》有言:“正月，与斗、牵牛晨出东方，名曰监德。色苍苍有光。”文中的牵牛即牵牛星。古代又称春季的天空为苍天，这个称谓出自《尔雅·释天第八》对四季天色的细分:“春为苍天，夏为昊天，秋为旻天，冬为上天。”但庄子却以哲学的角度质疑天空的真实颜色:“天之苍苍,其正色邪?”(《庄子·内篇·逍遥游第一》)庄子所质问的天色应指深蓝色。
茫无边际的草野色又称苍苍。传诵干古的北朝游牧民族歌谣中唱道:“天苍苍，野茫茫，风吹草低见牛羊。”(佚名《敕勒歌》）其歌颂的是北方草原一望无尽头的大自然壮观景色。而茫无边际的绿色又是一种会让文人触景生情、徒惹无名感伤与凄凉的心理颜色，例如“俺只见四野苍苍，又只见银河朗朗，当此景叫人真可伤。”（明朝沈采《千金记·解散》)但苍苍有时也比喻浩瀚海水的蓝绿色，例如“闲游登北固，东望海苍苍”(五代齐己《送人润州寻兄弟》)。
苍字又解释为衰老貌，例如苍老。苍又可指灰白色，像“白发苍苍”是形容老年人的斑白发色。苍亦可当作灰黑色使用，成语“白云苍狗”是比喻人世间的变幻无常，人生中任何事都有可能发生。
苍色也是古时的服饰用色。古籍《礼记·月令》有记载:“驾仓龙，服仓玉。”古代“仓”与“苍”相通，故应指青绿色。又汉代士卒被称为“苍头”，因其头包青色巾帛以示军阶之故。</t>
    </r>
    <r>
      <rPr>
        <sz val="11"/>
        <color theme="0" tint="-0.349986266670736"/>
        <rFont val="方正粗黑宋简体"/>
        <charset val="134"/>
      </rPr>
      <t>苍色：即各种颜色掺入黑色后的颜色，如苍翠</t>
    </r>
  </si>
  <si>
    <t>美蝶绿</t>
  </si>
  <si>
    <t>庭芜绿</t>
  </si>
  <si>
    <t>东风转暖,庭芜转绿。白居易的春庭三月半，李煜的风回柳眼春，都脱不了这一方小院嫩绿，不似小院东风，这是希望的颜色。</t>
  </si>
  <si>
    <t>碧山</t>
  </si>
  <si>
    <t>我见青山多妩媚,料青山见我应如是”，相看两不厌,一个生命礼敬另一个生命的端正。</t>
  </si>
  <si>
    <t>水龙吟</t>
  </si>
  <si>
    <t>其色出自词牌名。龙吟水啸的意境，青峰入水，翠龙出潭，仿佛神龙见首不见尾。</t>
  </si>
  <si>
    <t>柳色</t>
  </si>
  <si>
    <t>柳色是指柳树细长呈条状的叶子颜色，是固有色名，柳叶色会随着季节流转而自然色变。又因柳树发黄色新芽嫩蕊于早春，所以古人又以柳色代表春色，并且昵称春天为“柳条春”。
柳树是江南常见的落叶乔木植物，在南方人们习惯在自家檐前或屋后，以及河岸湖畔种植柳树，以增添春天景色的娇媚姿态。每年初春刚至，柳树总会争先萌发黄色花朵，故又称黄柳。当时序迈进夏季后，柳枝稠密交结，浓绿的柳色远看似堆烟，随风拂舞的柳绿又为炎夏留下热闹撩人的光影。深秋的柳色却成了恼人的色彩:“叶枯红藕，条疏青柳。淅剌剌满处西风，都送与愁人消受。”（清朝洪升《长生殿·得信》）文中的“条疏”是指秋天时稀落的柳条，“淅刺剌”则是秋风的声音。春来秋去，递变的柳色都为历代文人墨客带来无限的诗意与创作灵感。
柳色亦可比喻思念的心情与对于春天的惆怅，例如:“闺中少妇不知愁，春日凝妆上翠楼。忽见陌头杨柳色,悔教夫婿觅封侯。”(唐朝王昌龄《闺怨》）诗中的凝妆为盛装打扮的意思，陌头则为路边，讲的是少妇的夫婿从军未返，触动思君之愁绪。而欧阳修的“月上柳梢头，人约黄昏后”(《生查子》)，句中被月光轻抹的柳色则充满了情侣殷切期待相会的浪漫色彩与情调。
柳色又是国画中的用色之一，古时柳绿颜料的调色方法是“用枝条绿入槐花合”（明朝陶宗仪《辍耕录·写像诀》)。绿色又是民间年画中的常用色，是象征节气的颜色。</t>
  </si>
  <si>
    <t>草绿</t>
  </si>
  <si>
    <t>64，222，90</t>
  </si>
  <si>
    <r>
      <rPr>
        <sz val="11"/>
        <color theme="1"/>
        <rFont val="方正粗黑宋简体"/>
        <charset val="134"/>
      </rPr>
      <t>草绿色是我国固有颜色名词，多指夏天茂密青草的油润色泽，是象征旺盛生命力的色彩。
遍布全球各地的青草类植物生命力顽强，古人认为“天造万物于草创之始”（《周易正义》)。十月北国飘雪，干里冰封，绿色的草原变成白茫茫的雪国，直到翌年四月雪融后，新嫩绿芽迫不及待破土而出，争相面向着初春的寒阳呼吸新鲜的空气。韩愈的《春雪》诗云:“新年都未有芳华，二月初惊见草芽。白雪却嫌春色晚，故穿庭树作飞花。”而北方游牧民族则视嫩草的绿色为新生命的象征。
属于草蕨类的青草自初生至枯黄之间的色阶变化非常广泛，分别代表大自然四时递变的季节性色调。初春的草绿色是大地复苏、饱含生机的色泽;仲夏山野间的一片油绿丰草是万物峥嵘的怡人野色;时至深秋，则大地花木凋零摇落、枯草衰黄，表示入冬的季节将至。草色犹如生命的循环般，年年如此。茵绿的青草地绵延生长不绝、一望无际，所以在古代的闺怨诗中亦常将其借喻为闺中妇人绵绵不绝的思念，如“连天芳草，望断归来路”(宋朝李清照《点绛唇·闺思》)。又如《古诗十九首·青青河畔草》:“青青河畔草，郁郁园中柳。盈盈楼上女，皎皎当窗牖。娥娥红粉妆，纤纤出素手。昔为娼家女，今为荡子妇。荡子行不归，空床难独守。”这首诗中的青青是强调绿草的色调，而郁郁是着重在表达柳树的意韵神态;河边的草色一直延伸至无尽头，则是象征已从良少妇的孤独与无限期盼的思绪及心境。
在国画的颜料用色中，草绿色是用植物藤黄的黄色汁液混入花青（即植物染剂蓝靛）调成。而今草绿色是各国军人制服的通用保护色。</t>
    </r>
    <r>
      <rPr>
        <sz val="11"/>
        <color theme="0" tint="-0.349986266670736"/>
        <rFont val="方正粗黑宋简体"/>
        <charset val="134"/>
      </rPr>
      <t>草绿：绿而略黄的颜色</t>
    </r>
  </si>
  <si>
    <t>石发</t>
  </si>
  <si>
    <t>周处《风土记》日“石发，水苔也,青绿色，皆生于石”。今之水苔色，顽石生发，也是智慧过顶，那么这个颜色就是“会当凌绝顶，一览众山小”。</t>
  </si>
  <si>
    <t>竹绿</t>
  </si>
  <si>
    <t>青翠的竹之色。古人尤好竹，赋予它耿直、高洁的品性,文人更是以居有竹为雅。宋人程介有诗云:“先生溪上种修竹，呼吸溪光餐竹绿。”</t>
  </si>
  <si>
    <t>葱倩</t>
  </si>
  <si>
    <t>青山发苍，苍山生郁，就是这种绿。</t>
  </si>
  <si>
    <r>
      <rPr>
        <sz val="11"/>
        <color theme="1"/>
        <rFont val="方正粗黑宋简体"/>
        <charset val="134"/>
      </rPr>
      <t>翕</t>
    </r>
    <r>
      <rPr>
        <sz val="11"/>
        <color theme="1"/>
        <rFont val="宋体"/>
        <charset val="134"/>
      </rPr>
      <t>赩</t>
    </r>
  </si>
  <si>
    <r>
      <rPr>
        <sz val="11"/>
        <color theme="1"/>
        <rFont val="方正粗黑宋简体"/>
        <charset val="134"/>
      </rPr>
      <t>瑶草翕</t>
    </r>
    <r>
      <rPr>
        <sz val="11"/>
        <color theme="1"/>
        <rFont val="宋体"/>
        <charset val="134"/>
      </rPr>
      <t>赩</t>
    </r>
    <r>
      <rPr>
        <sz val="11"/>
        <color theme="1"/>
        <rFont val="方正粗黑宋简体"/>
        <charset val="134"/>
      </rPr>
      <t>,玉树葱青，绿到不近人气，标高到神仙境界。江淹《从冠军行建平王登庐山香炉峰》咏“瑶草正翕赩,玉树信葱青”。吕向注“翕赩,葱青盛郁貌”。</t>
    </r>
  </si>
  <si>
    <t>亚丁绿</t>
  </si>
  <si>
    <t>玉髓绿</t>
  </si>
  <si>
    <t>松柏绿</t>
  </si>
  <si>
    <t>松柏绿：经冬松柏叶的深绿</t>
  </si>
  <si>
    <t>青矾绿</t>
  </si>
  <si>
    <t>鲜绿</t>
  </si>
  <si>
    <t>蟾绿</t>
  </si>
  <si>
    <t>蓝绿</t>
  </si>
  <si>
    <t>碧色</t>
  </si>
  <si>
    <r>
      <rPr>
        <sz val="11"/>
        <color theme="1"/>
        <rFont val="方正粗黑宋简体"/>
        <charset val="134"/>
      </rPr>
      <t>碧字本义为青绿色的玉石，“碧，石之青美者”(《说文解字》)。后引申为颜色名词，指晶莹剔透的碧绿色。其英文则称为Jadegreen。
在古诗文中，多以“碧”字形容春夏季中葳蕤芳草或茂盛绿叶之貌。杜甫诗云“映阶碧草自春色，隔叶黄鹂空好音”，黄鹂即黄莺;宋朝诗人杨万里也有“接天莲叶无穷碧，映日荷花别样红”的诗句。碧色又可形容春季明媚的澄蓝天色,如“寒则苍，春则碧”（清朝王夫之《小云山记》)。而道家则称天空为碧落。
碧亦指清澈的水色，广西桂林的山水就十分碧绿、秀丽，从湘、漓的分流起，漓江就是一条绿水，绕经桂林城流淌到阳朔去。唐代诗人韩愈将其比喻为“青罗带”:“苍苍森八桂，兹地在湘南。江作青罗带,山如碧玉簪。”(《送桂州严大夫》）若站在月牙山上俯瞰，碧水就在脚下缓缓流过。</t>
    </r>
    <r>
      <rPr>
        <sz val="11"/>
        <color theme="1" tint="0.349986266670736"/>
        <rFont val="方正粗黑宋简体"/>
        <charset val="134"/>
      </rPr>
      <t>青绿色。《说文解字》：“碧，石之青美者。”常用来形容天云、草石及水波等色。唐人朱庆馀有“恰是扁舟堪入处，鸳鸯飞起碧流中”。</t>
    </r>
    <r>
      <rPr>
        <sz val="11"/>
        <color theme="0" tint="-0.499984740745262"/>
        <rFont val="方正粗黑宋简体"/>
        <charset val="134"/>
      </rPr>
      <t>碧色：1，青绿色。 2，青白色,浅蓝色。</t>
    </r>
  </si>
  <si>
    <t>漆姑</t>
  </si>
  <si>
    <t>漆姑草，可入药，可入色。今之郁色，中国画传统之青绿重工，非但石青石绿可为之，漆姑也可担当。</t>
  </si>
  <si>
    <t>青翠</t>
  </si>
  <si>
    <t>0，224，121</t>
  </si>
  <si>
    <r>
      <rPr>
        <sz val="11"/>
        <color theme="1"/>
        <rFont val="方正粗黑宋简体"/>
        <charset val="134"/>
      </rPr>
      <t>青翠，《说文解字》的解释是“青羽雀也，出郁林”，本义指翠鸟，后经引申泛指青、碧、绿等不同色阶与明度的绿色。青翠色则是一种色彩柔和平稳、纯度稍淡于翡翠的绿色。
青翠色是自然风景中一道重要且养目怡神的颜色，用指春夏间草本植物蓬勃生长，象征旺盛的生命力。在伊斯兰教中，青翠色是代表天国的颜色，又是伊斯兰文明的象征色，其认为出现在沙漠中的绿洲是人间乐园。东北、宁夏各地4000多座的清真寺，都以青翠绿作为庙宇建筑色彩的基调，在浩瀚起伏的黄土沙丘中显得尤为清新夺目。
在古诗文中，青翠色常用来形容茂密的山林与层叠的山色，例如“寒山饶积翠，秀色连州城”（唐朝李白《寄当涂赵少府炎》）。积翠是形容重叠的青翠景色。宋代名将岳飞曾写有:“经年尘土满征衣，特特寻芳上翠微。好水好山看不足，马蹄催趁月明归。”(《池州翠微亭》)诗中的“特特”是马蹄声，池州在今安徽省，翠微是指青翠的山坡或山气。李白曾经使用五个形容不同色阶与明暗度的绿颜色名词——碧、苍、青翠、绿及青，写了一首以冷色为主调的田园好诗:“暮从碧山下，山月随人归。却顾所来径，苍苍横翠微。相携及田家,童稚开荆扉。绿竹入幽径,青萝拂行衣……”(《下终南山过斛斯山人宿置酒》)
青翠色在清代小说家蒲松龄的作品里，却变成阴森恐怖的色彩:“(生）蹑迹而窗窥之，见一狞鬼，面翠色，齿巉巉如锯。铺人皮于榻上，执彩笔而绘之。”(《聊斋志异·画皮》)在现代华语电影的鬼片中，导演多利用惨绿色的灯光，为戏中的鬼魅魔妖照映出一层恐怖的色彩，以营造出青面獠牙的吓人气氛与视觉效应，其创意灵感可能来自蒲松龄的这段描述。
在国画颜料中，青翠色来自矿物孔雀石（又称石绿，含碱式碳酸铜成分),经研成粉末制成。据清代《芥子园画谱》所记载，石绿的制造方式是:将孔雀石磨成粉后加入水里，浮在水中最上层的极细粉末，成为“头绿”颜料（即淡绿色的用料），浮沉在中层的较粗微粒成为“二绿”颜料(比头绿深的绿色颜料），沉在底层的粗颗粒成为“三绿”（即青翠色的用料）。而青翠色颜料一般用在寺庙等建筑的彩画中，以增添灵动生气与稳重的美感效应。</t>
    </r>
    <r>
      <rPr>
        <sz val="11"/>
        <color theme="0" tint="-0.349986266670736"/>
        <rFont val="方正粗黑宋简体"/>
        <charset val="134"/>
      </rPr>
      <t>青翠：鲜绿</t>
    </r>
  </si>
  <si>
    <t>鹦鹉绿</t>
  </si>
  <si>
    <t>0，100，60</t>
  </si>
  <si>
    <r>
      <rPr>
        <sz val="11"/>
        <color theme="1"/>
        <rFont val="方正粗黑宋简体"/>
        <charset val="134"/>
      </rPr>
      <t>鹦鹉古称鸽、能言鸟，俗称鹦哥;因通身羽毛五彩缤纷，故又称五色鸟。毛色最艳丽漂亮的鹦鹉主要产自热带及亚热带的森林中，古时是西南藩属进贡的珍禽贡品。鹦鹉绿是指这种身披美丽羽衣的野生飞禽身上的一种毛色。
色彩艳丽饱和的鹦鹉绿是传统颜色名词，又是旧时布帛色染仿效的色彩对象，即鹦鹉绿色可用黄色与蓝色染料经先后叠染后获得。在古时鹦鹉绿是民间男女通用的服色，也是古代力士的衣着及军中将领的战袍用色。古典小说《水浒传》第二十四回写到武松踏雪回武大郎家时，身穿的正是一袭御寒鹦鹉绿纻丝衲袄。
鹦鹉绿又常被文人借喻为温纯平和的草木色泽，例如“折柳门前鹦鹉绿，河梁小驻归船”(北宋舒亶《临江仙·送郢令李易初》)。又据传唐代的通慧禅师30岁出家，独自进入太白山修行，以野果充饥，平日在树下柔软的草坪上坐禅,并祈愿:“何时从草起,着衣霜湿重，以粗恶饮食，于身无贪着?何时我能卧，树下柔软草,如诸鹦鹉绿，受现法喜乐?”通慧禅师依循佛法的喜乐定义而自持存活，如是这般苦修五年终于大悟得道。在视觉与美感效应上，如茵的鹦鹉绿色在这则故事中撒上了一层祥和的禅意。
单色釉瓷发展到清代康熙年间，色彩更显丰富艳美，并开发了前代未曾有过的新釉色数十种，其中一种就是仿烧自鹦鹉绿色，釉面柔顺青丽、色泽纯正。
婴鹦鹉绿历久弥新，从未因时代演变而落伍，始终是中华民族喜爱的色彩之一。</t>
    </r>
    <r>
      <rPr>
        <sz val="11"/>
        <color theme="1" tint="0.349986266670736"/>
        <rFont val="方正粗黑宋简体"/>
        <charset val="134"/>
      </rPr>
      <t>鹦鹉羽毛的翠绿色。古时为平民喜爱的服色，元人刘庭信有散曲云:“翠裙鹦鹉绿，绣带凤凰纹，玉铺胡蝶粉。”</t>
    </r>
  </si>
  <si>
    <t>宝石绿</t>
  </si>
  <si>
    <t>油绿</t>
  </si>
  <si>
    <t>0,188,18</t>
  </si>
  <si>
    <r>
      <rPr>
        <sz val="11"/>
        <color theme="1"/>
        <rFont val="方正粗黑宋简体"/>
        <charset val="134"/>
      </rPr>
      <t>形容色值,传统色字词比现代要丰富,油、玄、闷可以形容暗,鲜、翠、银可以形容亮。陈元龙《格致镜原》云“(绿豆)粒小而色暗者为油绿,又名灰绿，皮厚粉少”。安徽省图书馆藏抄本《布经》载“油绿:翠蓝脚地,槐米三十斤、白矾八斤、青矾五斤、广灰”。</t>
    </r>
    <r>
      <rPr>
        <sz val="11"/>
        <color theme="0" tint="-0.349986266670736"/>
        <rFont val="方正粗黑宋简体"/>
        <charset val="134"/>
      </rPr>
      <t>油绿：光润而浓绿的颜色。明亮可爱的色彩。</t>
    </r>
  </si>
  <si>
    <t>飞泉绿</t>
  </si>
  <si>
    <t>翠绿</t>
  </si>
  <si>
    <t>田螺绿</t>
  </si>
  <si>
    <t>翠微</t>
  </si>
  <si>
    <t>山色翠，雾气微，深处白云乡，好一派诗情画意，这也是洗心的颜色。其色山腰青罩,其意生机勃劫。《尔雅·释山》日“山脊冈未及上,翠微”。郝懿行疏“翠微者……盖未及山顶孱颜之间,葱郁葐蒀,望之谸浴青罩,气如微也”。</t>
  </si>
  <si>
    <t>芰荷</t>
  </si>
  <si>
    <t>菱叶与荷叶的颜色,这是屈原大夫反复吟诵的清新与美好。语出《楚辞·离骚》“制芰荷以为衣兮,集芙蓉以为裳”。芰荷为上衣，芙蓉为下裳，这种大红大绿的传统色搭配竟然是屈原首倡。</t>
  </si>
  <si>
    <t>海王绿</t>
  </si>
  <si>
    <t>孔雀绿</t>
  </si>
  <si>
    <t>绿色</t>
  </si>
  <si>
    <t>0，229，0，</t>
  </si>
  <si>
    <r>
      <rPr>
        <sz val="11"/>
        <color theme="1"/>
        <rFont val="方正粗黑宋简体"/>
        <charset val="134"/>
      </rPr>
      <t xml:space="preserve">绿最早通菉字(音同绿)，原指─种草名，菉就是现在所称的荩草。绿字早在《诗经》中已出现:“终朝采绿，不盈一掬。”(《小雅·鱼藻之什·采绿》）内容写采收绿草的女子，因思念远行未归的爱人，以致整个早上仍摘不到双手合捧的数量。菉是一种野生植物，叶片像竹叶,茎干呈爬藤状。在古籍中,菉分别有菉竹、蓐、王刍、戾草等称谓。菉又是传统染黄绿色布帛的染材，明代李时珍的《本草纲目》中说:“此草绿色，可染黄,故曰黄、曰绿也。”绿又是固有颜色名词，是指植物叶子的色泽。《古诗十九首》中即有“庭中有奇树，绿叶发华滋”的诗句。《说文解字》又说“绿，帛青黄色也”，意思是说绿色的布帛可用蓝色和黄色的染料经先后叠染后获得。宋代理学宗师朱熹在《诗集传》中说“绿，苍胜黄之间色”，即是说绿色是黄与青（蓝)之间偏向青色的混合色,属间色。在传统的“五色行”色彩观与方位学说中，绿色被纳入青色系列，位处东方，属木性，是太阳始升于此，万物随之茂衍，时序为春的颜色。
绿色既为间色，地位自然不比五正色来得高贵与正统，在中华民族的色彩史上，绿色的位阶有时比青色还低下。绿色代表贱色大约始于唐代，当时法典以绿色作为侮辱与惩罚犯人的一种颜色标记;规定犯罪者要用碧头巾裹头以达到羞辱他们的目的。因为在唐朝，在妓院中工作的男子都必须戴着绿纱头巾以表明职业，所以唐人颜师古说“绿帻，贱人之服也”，帻为古代平民所戴的头巾。在元代官修的《元典章》中进一步规定:“娼妓家长并亲属男子，裹青头巾。”明初朱元璋更是下令，南京妓院中的男人必须“头戴绿巾”,脚穿带毛的猪皮鞋,外出时只准靠着墙边行走，不得走在马路中间。到了清代，绿头巾仍然是优伶、娼妓等从事“贱业”者戴的，故为社会上一般人所忌。而妻了有外遇，则丈夫被称“戴绿帽子”，这种贬义用词，一直沿用至今。绿色也是古时中下层官吏的官袍服色，标明芝麻小官的权位与官阶。在唐代六、七品小官的官服为绿色，明制则八、九品官的为绿袍，于是绿色成为进入朝廷、跨足上层官僚阶层最起码的官袍颜色。
绿又象征草木欣欣向荣的生机与美好光景的色彩，会令文人联想到青春与盎然的春色，如“人静乌鸢自乐，小桥外、新绿溅溅”（(北宋周邦彦《满庭芳》)，诗中的新绿是指春天的潺潺水色。又“红男绿女”中的绿女是形容青春貌美的女子;“绿纱窗”是指女子的闺房。另“惨绿少年”是形容身穿华衣、意气风发的青年才俊;“绿蚁”是指浮在新酿而未经过滤米酒液面上的绿色泡沫。
历来最具正面意义的绿色应是成语中的“碧血丹心”，意指满腔正义的热血与赤忱忠诚的心。该典故出自《庄子·外物篇》“苌弘死于蜀，藏其血，三年而化为碧”，内容是述说曾任周景王与周敬王两朝大臣的周朝政治家刘文公的大夫苌弘，因保周抗战，不幸死于国难。传说苌弘死后三年其鲜血化为碧玉，后世遂以“碧血丹心”来形容忠心爱国、血洒沙场的军民。
始创于隋唐时期、主要用石绿及石青矿物颜料绘成的青绿山水画，开启了中国山水画风与画体。在古代的审美色彩观中，绿色又常与红色互相配合，出现在诗词、衣饰搭配与古建筑的装饰中;绿与红的冷暖色调互补与相互衬托，使它们显得更活泼、更鲜明，效果也更加突出醒目;由于人的视觉本身的调节作用，会让这两种对比色得到中和与平衡。北宋诗人王安石的诗句“浓绿万枝红一点，动人春色不须多”(《咏石榴花》)，即是形容在万绿丛中只需抹上一点红色，就能烘托出满园的无限春色，而这正是中华文化中赋予绿色的特殊象征意义。
</t>
    </r>
    <r>
      <rPr>
        <sz val="11"/>
        <color theme="0" tint="-0.349986266670736"/>
        <rFont val="方正粗黑宋简体"/>
        <charset val="134"/>
      </rPr>
      <t>绿色：1，在光谱中介于蓝与黄之间的那种颜色。 2，本义：青中带黄的颜色。 3，引申为黑色，如绿鬓：乌黑而光亮的鬓发。代指为青春年少的容颜。</t>
    </r>
  </si>
  <si>
    <t>青青</t>
  </si>
  <si>
    <t>一青再青,缘于纯正,绿到不杂不假,恨不得放到最亲最爱的人的衣领上。《诗经·郑风·子衿》曰“青青子衿,悠悠我心”。朱熹《诗集传》注“青青,纯缘之色”。</t>
  </si>
  <si>
    <t>结绿</t>
  </si>
  <si>
    <t>古玉色之一种。《战国策·秦策》日“臣闻周有砥厄,宋有结绿,梁有悬黎,楚有和璞”。上古首次给出玉石绿的传统色场景是“宋之结绿”，两字均为绞丝旁,借自古代桑农对“桑螵蛸”的俗 称，“桑螵蛸”则是对螳螂卵房的雅称。</t>
  </si>
  <si>
    <t>莓莓</t>
  </si>
  <si>
    <t>青苍之草色。左思《魏都赋》曰“兰渚莓莓,石濑汤汤”。刘良注“莓莓,盛貌”。莓是青苍色,潮州人喜食芋茎,因芋茎之色青苍而呼之为芋莓。</t>
  </si>
  <si>
    <t>青葱</t>
  </si>
  <si>
    <t>青葱：翠绿色,形容植物浓绿</t>
  </si>
  <si>
    <t>宫殿绿</t>
  </si>
  <si>
    <t>白屈菜绿</t>
  </si>
  <si>
    <t>薄荷绿</t>
  </si>
  <si>
    <t>翠虬</t>
  </si>
  <si>
    <t>虬即龙之无角者,此色出自龙种。翠虬绛螭，都是文创产品感觉很强的陈设。</t>
  </si>
  <si>
    <t>祖母绿</t>
  </si>
  <si>
    <r>
      <rPr>
        <sz val="11"/>
        <color theme="1"/>
        <rFont val="方正粗黑宋简体"/>
        <charset val="134"/>
      </rPr>
      <t xml:space="preserve">祖母绿是一种稀有的绿宝石，也是一种自然绿矿石的颜色名词。在传统色彩系列中，祖母绿是最名贵及讨喜的色彩，也是历来最受欢迎和价值连城的宝石，其带有莹亮光泽的深绿色，优美、养眼。
祖母绿宝石原产于古代西域，波斯语为Zumurrud，古时称之为“助木剌”或“子母绿”，17世纪后才改叫祖母绿，自此一直沿用至今。而祖母绿的名称由来纯粹是音译自波斯语，与“祖母”完全扯不上关系，英文则称为Emerald。祖母绿属于绿柱石族矿物，结构呈六方形晶体,具有玻璃光泽，因矿石体内多含细小的龟裂纹饰，遇光即会折射出一道道闪耀夺目的光条，色泽十分鲜艳悦目。又因祖母绿含金属元素铬(Cr ),含量愈多，宝石的颜色就愈深绿，也愈稀有、珍贵。宝石祖母绿早在公元前3000年就已被埃及法老作为装饰使用。据说埃及艳后克丽奥佩特拉(Cleopatra，前69—前30）最心爱的就是一款深绿色的玉石，她还将其嵌饰在自己的后冠上，以示高贵与华美，祖母绿因此更受到埃及人的垂青以及大量开采收藏。
在我国，到了10世纪的辽金时期始见祖母绿的踪影，当时来自西域的色目人将其本国的珠宝首饰、名贵矿石材料以及香料等带到中原求售，再换回如丝绸、茶叶及瓷器等特产。在他们出售的宝石珍物中，就包括了“形如玻璃而莹之”的祖母绿。在元朝末年的文学家陶宗仪的《辍耕录》—书中，即有“回回石头品极多，有助木刺者，明绿色”的记载。祖母绿亦开始受到皇帝贵族的注意与赏识，并制成首饰佩戴以示华贵，此潮流与风气就此历经明、清两朝，以至现今仍然久畅不衰,依旧是历来最贵重的翠玉珍品。
</t>
    </r>
    <r>
      <rPr>
        <sz val="11"/>
        <color theme="0" tint="-0.349986266670736"/>
        <rFont val="方正粗黑宋简体"/>
        <charset val="134"/>
      </rPr>
      <t>《明史》载:“逾年，诏趣进金花银,且购猫睛、祖母绿诸异宝。”这是明代嘉靖皇帝购买祖母绿的记载。嘉靖年间，胡侍的《墅谈》记载:“祖母绿，即元人所谓助木刺也，出回回地面，其色深绿，其价极贵。”万历年间,田艺龚《留青日札》记载:“祖母绿,本绿宝石。上者名助把避,深暗绿色;中者名助木刺，明绿色;下者名撒卜泥，浅绿色带石者。皆出回回山坑中。正德、嘉靖以来，抄没刘瑾、江彬、严嵩辈,此宝最奇且多。” 明代还将“zmernd”译作“锁目绿”“助木绿”“租马痢”“组瑚绿”，最神奇的译法是“子母绿”。清代学者陈元龙的《格致镜原》说:“祖母绿,宝石也。出西南诸郡,色碧，日耀则满室掩映，一说坐草女人握于手中易产……又有色嫩绿如新草葱菁者，回回国所产祖母绿。”不得不说，陈元龙的学问大,祖母绿握于手中可以帮助女子生产顺利,最佳广告语矣。</t>
    </r>
  </si>
  <si>
    <t>官绿</t>
  </si>
  <si>
    <t>今之枝头绿，纯绿鲜明，正气端庄。陶宗仪《南村辍耕录·采绘法》云“官绿,即枝条绿是”。《广群芳谱》云“(绿豆)粒粗而色鲜者为官绿,又名明绿,皮薄粉多。粒小而色暗者为油绿,又名灰绿，皮厚粉少”。</t>
  </si>
  <si>
    <t>螺青</t>
  </si>
  <si>
    <t>墨绿螺狮色。古诗中以墨绿或黛来定义螺狮的颜色,融于山水间,“螺青点出暮山色,石绿染成春浦潮”。</t>
  </si>
  <si>
    <t>松花绿</t>
  </si>
  <si>
    <t>松花绿：亦作“松花”、“松绿”。偏黑的深绿色,墨绿。</t>
  </si>
  <si>
    <t>荷叶绿</t>
  </si>
  <si>
    <t>苍绿</t>
  </si>
  <si>
    <t>深绿色。《说文解字》释:“苍，草色也后又引伸为青黑色。这种偏暗色调的绿色，暗藏颓势，惹人感伤。</t>
  </si>
  <si>
    <t>槲寄生绿</t>
  </si>
  <si>
    <t>深海绿</t>
  </si>
  <si>
    <t>苷蓝绿</t>
  </si>
  <si>
    <t>莽丛绿</t>
  </si>
  <si>
    <t>云杉绿</t>
  </si>
  <si>
    <t>月白</t>
  </si>
  <si>
    <r>
      <rPr>
        <sz val="11"/>
        <color theme="1"/>
        <rFont val="方正粗黑宋简体"/>
        <charset val="134"/>
      </rPr>
      <t>月色皎洁纯净，古诗有云:明月何皎皎,照我罗床帏。宋人苏轼亦道:月白风清,如此良夜何。</t>
    </r>
    <r>
      <rPr>
        <sz val="11"/>
        <color theme="0" tint="-0.499984740745262"/>
        <rFont val="方正粗黑宋简体"/>
        <charset val="134"/>
      </rPr>
      <t>宋应星《天工开物》载“月白、草白二色,俱靛水微染,今法用苋蓝煎水,半生半熟染”。李渔《闲情偶记》载“记予儿时所见,女子之少者,尚银红、桃红,稍长者尚月白。未几而银红桃红皆变大红,月白变蓝,再变则大红变紫,蓝变石青”。由是见,月白、蓝、石青是由浅及深的蓝色。写这本书的过程中，我曾去景德镇请教陶瓷的颜色，粉彩大师搞不清像月白这种颜色到底怎么准确定义，故宫收藏的月白色服装之间也有很大颜色差异。清代乾隆、嘉庆年间，戏曲家李斗的《扬州画舫录》里将月白归在白色系:“白有缥白、月白。”到道光年间，月白中的蓝色加深，文人童谦孟的《龙江竹枝词》里咏:“月白似蓝蓝似青，染坊颜色比前深。半青被面全青样，安得姑娘出嫁心。”由此看，月白的蓝色度,随着清代时间线而趋深。</t>
    </r>
    <r>
      <rPr>
        <sz val="11"/>
        <color theme="0" tint="-0.349986266670736"/>
        <rFont val="方正粗黑宋简体"/>
        <charset val="134"/>
      </rPr>
      <t>月白：淡蓝色</t>
    </r>
    <r>
      <rPr>
        <sz val="11"/>
        <color theme="1" tint="0.349986266670736"/>
        <rFont val="方正粗黑宋简体"/>
        <charset val="134"/>
      </rPr>
      <t>月白色属于自然的色彩，是形容皎洁纯净无尘良夜下、月亮高挂朗照的颜色，也是古人寓情寄意的浓厚感情色彩。月球自身不会发光，只是反射太阳的光线而呈现出光芒。月球有太阴、圆魄、蟾兔、玉轮、冰轮、蟾宫等别称。在古汉语中“朠”字的本义是指月色，却未明定是哪一种色彩。在古诗文中发现，古人早已认定月色就是白色，例如古诗:“明月何皎皎，照我罗床帏。”皎的字义为月之白色或洁白之意。《诗经·陈风·月出》又说“月出皓兮”，“皓”字的本义是“白也”(《小尔雅》）。而苏轼就直接用颜色名词“白”字来形容月亮光线的色相:“月白风清，如此良夜何。”(《后赤壁赋》)
古人十分重视色彩所传达的思想与意义，连服色的选择也对应喜庆节日而具有特别的含义。在中秋佳节到来时，古代的仕女多会穿着月白色的衣裳，以应和辉映潋滟的月光色泽。在明代的《帝京景物略》中有记载，每逢元宵节及中秋节的农历初八至十八期间，京城妇女习惯穿着白绫衫(—种单面有光泽、较薄的丝织衣），结伴在月光下漫步，称为“走桥”。到了清康熙年间，妇女们在中秋节走桥时，喜欢穿上带有葱白色或米色的绫衫，称之为“夜光衣”，因为在明亮的月光下，绫衫会隐约闪烁透着光华，特别引人注目。清初文人高士奇的《灯市竹枝词》载有:“鸦髻盘云插翠翘，葱绫浅斗月华娇。夜深结伴前门过，消病春风去走桥。”诗文是形容清初的妇女过节走桥尽兴至深夜时分的美丽装扮。直到近代，广东地区的少女在中秋节时仍然保持传统的习俗，身穿白色舞衫，在明月下跳拜月舞。
古代民间习俗喜欢对着皓月寄以千百种复杂的情怀，并赋予月色浓厚的感情色彩。月亮及其光芒可分别象征欢乐、团圆、宁静、爱恋、思乡与离愁的心境。譬如花好月圆之夜是恋人海誓山盟的浪漫时刻。而同是一轮明月，古人又借喻为人生的无常际遇与缺陷:“明月明月明月。争奈乍圆还缺。”(北宋柳永《望汉月》)而满月的光华在不同的季节与时间里，又会出现各种色温变幻。古时文人对月光的色泽变化观察入微，例如春夜荡涤大地的朦胧月色特别柔和温润:“月色溶溶夜，花阴寂寂春。”(金代董解元《西厢记诸宫词》卷一)月到中秋时，月光是白中透微黄的暖调色彩:“一轮秋影转金波，飞镜又重磨。”(宋朝辛弃疾《太常引》)诗中的金波指的就是一轮金黄色的月亮。深秋时清澈玲珑的月色又变为白中含蓝调的银辉色泽:“清夜无尘，月色如银。”（宋朝苏轼《行香子·清夜无尘》)而李白的经典诗作“床前明月光，疑是地上霜。举头望明月，低头思故乡”(《静夜思》)，是描写浪迹天涯的诗人，借着清冽的月色，思念家乡亲人的情景。</t>
    </r>
  </si>
  <si>
    <t>素</t>
  </si>
  <si>
    <r>
      <rPr>
        <sz val="11"/>
        <color theme="1"/>
        <rFont val="方正粗黑宋简体"/>
        <charset val="134"/>
      </rPr>
      <t>本白色。本意是为染色的丝。《管子》云“素也者，五色之质也。后人以此喻本质纯然的境界”。</t>
    </r>
    <r>
      <rPr>
        <sz val="11"/>
        <color theme="0" tint="-0.499984740745262"/>
        <rFont val="方正粗黑宋简体"/>
        <charset val="134"/>
      </rPr>
      <t>素：白色，无色</t>
    </r>
  </si>
  <si>
    <t>鸭卵青</t>
  </si>
  <si>
    <t>鸭卵青：淡青灰色，极淡的青绿色</t>
  </si>
  <si>
    <t>天缥</t>
  </si>
  <si>
    <t>近于那个等烟雨的天青色,因漂洗色淡而生缥,缥是很重要的基本传统色,晴空的天色就叫天缥。许慎《说文解字·系部》注“缥，帛青白色也”。刘熙《释名·释采帛》注“缥,犹漂也,漂漂浅青色也。有碧缥,有天缥,有骨缥,各以其色所象言之也”。此色命名天缥,其色如晴空。青色可能是青白色（缥)，是青绿色（碧)，是绿青色（葱),是青黄色（绿)，是青灰色（苍),是青红色（鲰),是深青红色（绀)，是青黑色（黛),甚至是黑色（黑)。古汉语里出现一个“青”字，上面这些颜色都有可能。缥,跟青一样令人迷惑,所以有蓝色的“青缥”、淡蓝带淡绿的“碧缥”、淡绿带淡蓝的“缥碧”、淡绿灰的“骨缥”、淡蓝微带红的“红缥”。如果天空像洗过一样，天缥是浅蓝色;如果“雨过天青云破处”,有大片云的天空透明度没有那么好,天缥是淡蓝绿色。</t>
  </si>
  <si>
    <t>青白</t>
  </si>
  <si>
    <t>青白：白而发青,尤指脸没有血色</t>
  </si>
  <si>
    <t>沧浪</t>
  </si>
  <si>
    <t>说的是我心悠悠。不信你去苏州吃一碗好面,再去沧浪亭把脚浸到水中试试。《孟子·离委上》日“沧浪之水清兮，可以濯我缨: 沧浪之水浊兮,可以濯我足”。玄
奖《大唐西城记·享禄勤那国》载“水色沧浪,波涛浩瀚”。名此色为沧浪,恰得我
心。</t>
  </si>
  <si>
    <t>蟹青/蟹壳青</t>
  </si>
  <si>
    <r>
      <rPr>
        <sz val="11"/>
        <color theme="1"/>
        <rFont val="方正粗黑宋简体"/>
        <charset val="134"/>
      </rPr>
      <t>如蟹壳般的青灰色。乾隆时期名贵的颜色釉品种,属于茶叶末釉,釉色偏绿，俗称“蟹壳青”。</t>
    </r>
    <r>
      <rPr>
        <sz val="11"/>
        <color theme="0" tint="-0.499984740745262"/>
        <rFont val="方正粗黑宋简体"/>
        <charset val="134"/>
      </rPr>
      <t>蟹壳青：深灰绿色</t>
    </r>
  </si>
  <si>
    <t>老银</t>
  </si>
  <si>
    <t>老银：金属氧化后的色彩</t>
  </si>
  <si>
    <t>井天</t>
  </si>
  <si>
    <t>坐井观天之色,道者无心之意。坐井观天的颜色意象,量子物理的递进不断提醒我们,我们的已知不过是头顶小井天。</t>
  </si>
  <si>
    <t>西子</t>
  </si>
  <si>
    <t>清代盛行湖色服饰,西子色当与湖色相类，晴日碧波、心旷神怡。</t>
  </si>
  <si>
    <t>白青</t>
  </si>
  <si>
    <t>中国画传统颜料色,亦称鱼目青、属石青之一种。苏颂《本草图经》云“(白青）亦似空青,圆如铁珠,色白而腹不空,亦谓之碧青,以其研之色碧也。亦谓之鱼目青,以其形似鱼目也。无空青时,亦可用,今不复见之。”。张志聪《本草崇原》云“……其色青,其中皆空,故曰空青。不空无浆者,白青也”。石青属中国画颜料的石色系，以色目分则为头青、二青、三青、四青，以矿物质地分则有白青、空青、曾青、群青等。</t>
  </si>
  <si>
    <r>
      <rPr>
        <sz val="11"/>
        <color theme="1"/>
        <rFont val="方正粗黑宋简体"/>
        <charset val="134"/>
      </rPr>
      <t>苍</t>
    </r>
    <r>
      <rPr>
        <sz val="11"/>
        <color theme="1"/>
        <rFont val="宋体"/>
        <charset val="134"/>
      </rPr>
      <t>筤</t>
    </r>
  </si>
  <si>
    <r>
      <rPr>
        <sz val="11"/>
        <color theme="1"/>
        <rFont val="方正粗黑宋简体"/>
        <charset val="134"/>
      </rPr>
      <t>没有比竹初生更能代表春天的事物了,也没有比苍</t>
    </r>
    <r>
      <rPr>
        <sz val="11"/>
        <color theme="1"/>
        <rFont val="宋体"/>
        <charset val="134"/>
      </rPr>
      <t>筤</t>
    </r>
    <r>
      <rPr>
        <sz val="11"/>
        <color theme="1"/>
        <rFont val="方正粗黑宋简体"/>
        <charset val="134"/>
      </rPr>
      <t>更能代表初春的颜色了,春生之美,尽在此色。昭示春天的颜色。孔颖达疏“竹初生之时,色苍筤,取其春生之美也”。</t>
    </r>
  </si>
  <si>
    <t>總犗</t>
  </si>
  <si>
    <r>
      <rPr>
        <sz val="11"/>
        <color theme="1"/>
        <rFont val="宋体"/>
        <charset val="134"/>
      </rPr>
      <t>總</t>
    </r>
    <r>
      <rPr>
        <sz val="11"/>
        <color theme="1"/>
        <rFont val="方正粗黑宋简体"/>
        <charset val="134"/>
      </rPr>
      <t>字难写，不要怕,它其实就是葱,如果帝王耕地的牛是葱色,老子出关的青牛也是这个颜色吧?總通葱。潘岳《籍田赋》曰“總犗服于缥轭兮,绀辕缀于黛耜”。李善注“總犗,帝耕之牛也”。许慎《说文解字·系部》曰“總，帛青色”。段玉裁注“《尔雅》青谓之葱，葱即總也。谓其色葱葱浅青也”。徐锴《韵谱》曰“總,帛青白”。张舜徽《说文解字约注》曰“葱本菜名，其色长青,因引申为凡青之称。《尔雅》所云，是也。帛青白色谓之,亦犹石之似玉者谓之璁,马青白杂毛谓之骢耳”。</t>
    </r>
  </si>
  <si>
    <t>湖绿</t>
  </si>
  <si>
    <t>瀑布蓝</t>
  </si>
  <si>
    <t>石绿</t>
  </si>
  <si>
    <t>88，144，96</t>
  </si>
  <si>
    <r>
      <rPr>
        <sz val="11"/>
        <color theme="1"/>
        <rFont val="方正粗黑宋简体"/>
        <charset val="134"/>
      </rPr>
      <t>石绿是传统国画及壁画的重要颜色用料，属于外来矿物色，色彩来自天然矿物孔雀石，色泽呈蓝绿色，色感平和、安静与永恒。天然矿物孔雀石的化学组成是碱式碳酸铜Cu2( OH )2CO3,属单斜系单斜柱结晶体结构,因矿石含铜，故结晶呈绿色;又因色泽似孔雀羽毛上的绿色斑点图案，故称孔雀石，英文名称为Malachite，源自希腊文Mallache，意思是绿色。早在4000年前，古埃及人已开始在西奈与苏伊士地区开采孔雀石，质纯、色泽美丽的作为工艺装饰品或儿童的护身符，因为埃及人相信孔雀石有驱除恶灵的神效;还会把孔雀石磨成粉末，用作绿色的眼影膏，以加强美眸的三维效果。
孔雀石大约在公元前13世纪的殷商时期传入我国，当时主要用于制造束发用的石簪及工艺品;而其大量传入中原是始于7世纪的唐代，并开始作为绘画用的颜料。经过研磨粉碎的孔雀石粉，有“石绿”“绿青”及“青琅俞”等不同的名称。石绿为盛行于唐宋时期的青绿山水画中重要的绿色用料，成因之—是佛教艺术自魏晋时期传入后，改变了中原绘画以红、黑为主色调的传统局面，即青绿用色的兴起。因在天竺国的宗教色彩观中，认为青绿色是象征佛家思想的和谐境界;而石绿与含有胶质的材料混合后，可画出柔和静谧的绿色，色感正符合佛教追求平和与安宁的信仰。
石绿又是古时炼丹家制作仙丹的材料之一，术士为了避免公开丹方的药名，故意用隐语称之为“青神羽”（唐朝梅彪《石药尔雅》)。石绿在日本的奈良时代天平年间经我国传到日本，同样是东瀛画师重要的绿色用料，而石绿在日本被称作“绿青”。在古代，石绿只有一种色泽，而现代已可把石绿矿石细磨分出1~18个色阶、从浅入深的色粉，供国画家使用。
石绿在今天仍是古画与庙宇彩壁修复，乃至西藏唐卡的绘制中,不可或缺的重要矿物色料。</t>
    </r>
    <r>
      <rPr>
        <sz val="11"/>
        <color theme="0" tint="-0.349986266670736"/>
        <rFont val="方正粗黑宋简体"/>
        <charset val="134"/>
      </rPr>
      <t>孔雀石研磨而成，中国画传统颜料色。制作石绿以干研为主,研到极细时方可加胶。如果有好的原材料支持,以及使用有效的漂洗方法，石绿的细度可以分为更多色目，日本将石绿分为十七目。石青石绿的中国画巅峰,可以参考故宫博物院收藏的《千里江山图》。日本有一种称作群绿的颜料，是混生的蓝铜矿和孔雀石，如果混生到无法分离、你中有我，我中有你,就干脆一起研磨，群绿在中国称作豆青(蓝铜矿多于孔雀石的混生),或者豆绿(孔雀石多于蓝铜矿的混生)。 原料矿石越黑，研磨后的颜料越绿,上品原料孔雀石呈黛黑色,称作狮头绿、虾蟆背，其次是色淡而有闪光的孔雀石,称作靖蜓翅。</t>
    </r>
  </si>
  <si>
    <t>水色</t>
  </si>
  <si>
    <t>闪蓝</t>
  </si>
  <si>
    <t>竹月</t>
  </si>
  <si>
    <t>竹林月色,寂寥青幽。中国画有“竹月图”之类,凡绘色竹月，画月莫如画竹,画竹则印月色。</t>
  </si>
  <si>
    <t>正青</t>
  </si>
  <si>
    <t>正经本义的青,看看就知道青在或蓝或绿的状态。《太平经·守一明法》日“守一精明之时,若火始生时,急守之勿失。始正赤,终正白，久久正青。洞明绝远复远”。</t>
  </si>
  <si>
    <t>虾壳青</t>
  </si>
  <si>
    <t>缥碧</t>
  </si>
  <si>
    <t>？可能再浅点</t>
  </si>
  <si>
    <t>缥碧是大色,因其贵气,或出现在宫苑的瓦上,或出现在江河的水里,或出现在贵人的杯中,最好还是李后主的宫人以素白玉手端起的颜色,给了我们一眼千年的想象。陈琳《神武赋》日“文贝紫瑛,缥碧玄绿”。左思《吴都赋》日“紫贝流黄,缥碧素玉”。缥碧,不管是“以为瓦”,还是“难为水”,始终是古风悠悠。素白玉手端起的颜色，何须再争论是酒色还是酒杯色。</t>
  </si>
  <si>
    <t>苍黑</t>
  </si>
  <si>
    <t>天水碧</t>
  </si>
  <si>
    <t>《五国故事》载“天水碧,因煜之内人染碧,夕露于中庭,为露所染,其色特好,遂名之”。《宋史·李煜》载“又煜之妓妾尝染碧,经夕未收,会露下，其色愈鲜明, 煜爱之。自是宫中竞收露水，染碧以衣之,谓之‘天水碧’”。出自李后主的宫廷,自是审美的高峰,至明代依然盛行,与“海天霞”齐名。</t>
  </si>
  <si>
    <t>青碧</t>
  </si>
  <si>
    <t>青碧：鲜艳的青蓝色</t>
  </si>
  <si>
    <t>蔚蓝</t>
  </si>
  <si>
    <t>蔚蓝：类似晴朗天空的颜色的一种蓝色</t>
  </si>
  <si>
    <t>二绿</t>
  </si>
  <si>
    <t>同样是研磨石绿矿石,古代中国人按照研磨细度分四目,也就是分为四种层级的绿色,现代日本人分十七目。石绿的色目,中国画传统颜料色。传统上，石绿根据细度可分为头绿、二绿、三绿、四绿等,头绿最粗最绿,依次渐细渐淡。陶宗仪《南村辍耕录·采绘法》云“凡合用颜色细色,头青、二青、三青、深中青、浅中青、螺青、苏青、二绿、三绿、花叶绿、枝条绿、南绿、油绿、漆绿、黄丹、飞丹、三朱、土朱、银朱、枝红、紫花、藤黄、槐花、削粉、石榴、颗绵、燕支、檀子。其檀子,用银朱浅入老墨、燕支合”。</t>
  </si>
  <si>
    <t>43，38，128</t>
  </si>
  <si>
    <t>孔雀蓝的色彩名称取自珍禽孔雀的美丽羽毛颜色，即蓝中泛微紫光泽，呈色悦目愉人。其英文称为Peacock Blue。生长于亚洲热带森林的孔雀，原出自印度、尼泊尔以及斯里兰卡（旧称锡兰)一带，自古就受到印度人的赞美与敬爱，并建有以孔雀为名的城池与皇朝;在佛经中也有孔雀王的典故。孔雀在印度代表高贵、美丽与善良。
据古籍《汉书》记载，孔雀最早传入中原是由南越王当作贡品献给西汉皇室，当时被称为“孔爵”;到了唐代又被称作“越鸟”。在甘肃敦煌石窟的壁画上，也出现了传自印度或东南亚的孔雀图像。在榆林窟址第25窟，创作于中唐时期的彩壁中，画有挺胸振翅、开启美丽羽毛婆娑起舞、神形兼备的孔雀彩图。
孔雀蓝在西方中古时期，是代表皇室的颜色，象征着高贵与优雅。在古代因受到佛教思想的影响，孔雀蓝代表的是智慧与明净的意思。在烧制瓷器时，若在绿色发色剂的三氧化二铬( CrzO:)中加入少许的金属钴料，就会呈现鲜艳的孔雀蓝色。
孔雀蓝历来是人们喜爱的色彩。在现代文学作家中，张爱玲在晚年出版的《对照记》中提及:“我的第一本书出版时，自己设计的封面就是整体一色的孔雀蓝，没有图章，只印上黑字，不留半点空白，浓稠得使人窒息。”浓郁到喘不过气来，就是这位现代小说家对这种蓝色的个人感觉。</t>
  </si>
  <si>
    <t>晚波蓝</t>
  </si>
  <si>
    <t>甸子蓝</t>
  </si>
  <si>
    <t>空青</t>
  </si>
  <si>
    <t>中国画传统颜料色,亦称杨梅青,属石绿之一种。《本草经》云“空青，生小谷，久服轻身延年,能化铜铅作金。生益州。《范子计然》曰:“空青出巴郡，白青、曾青出弘农、豫章,白青出新淦。青色者善“。《博物志》曰:‘徐公时令人于西平青山采取张志聪《本草崇原》云“空青一名杨梅青，始出益州山谷及越隽山,今蔚兰、宣梓诸州有铜处,铜精熏则生空青,大者如拳如卵,小者如豆粒,或如杨梅。其色青,其中皆空,故曰空青。内有浆汁,为治目神药。不空无浆者,白青也”。</t>
  </si>
  <si>
    <t>扁青</t>
  </si>
  <si>
    <t>石青大家族的成员,原产于湖北、四川。中国画传统颜料色,亦称大青,石青颜料之一种。张彦远《历代名画记》云“武陵永井之丹,磨嵯之砂,越嵩之空青,蔚之曾青,武昌之扁青,蜀郡之铅华,始兴之解锡,研炼、澄汰、深浅、轻重、精粗”。李时珍《本草纲目》云“(扁青)今之石青是矣,绘画家用之。其色青翠不渝,俗呼为大青。楚蜀诸处亦有之。而今货石青者,有天青、大青、西夷回回青、佛头青种种不同,而回青无贵”。</t>
  </si>
  <si>
    <t>翠蓝</t>
  </si>
  <si>
    <t>千山翠</t>
  </si>
  <si>
    <t>同样出自秘色瓷,谦谦君子，温润如玉。越窑瓷色,如山峦之翠,滋润而不透明,隐露青光如玉。</t>
  </si>
  <si>
    <t>胆矾蓝</t>
  </si>
  <si>
    <t>太师青</t>
  </si>
  <si>
    <t xml:space="preserve">陆游《老学庵笔记》云“蔡太师作相时，衣青道衣,谓之‘太师青’”。故宫博物院藏宋徽宗赵佶《听琴图》中听琴者其一或为蔡京,其青袍之色则为太师青。“欲问宫中天水碧，都人惟说太师青”，蔡京太师青、宫人天水碧，随汴梁俱往矣。 </t>
  </si>
  <si>
    <t>铜青</t>
  </si>
  <si>
    <t>描述色彩最具财神意象的句子之一，“野菊荒苔各铸钱,金黄铜绿两争妍”。亦称铜绿、绿盐,铜锈制成的颜料，中国画传统颜料色。《墨娥小录》云“造铜青, 硇砂二两，白矾三两,好醋三升，二味为末,入醋内浸。次将熟铜板十斤,每重一两如响板子,以炭火烧通红,入药蘸,以汁尽为度。别用好醋糟一斗入盆内,将铜板子用草板子隔放,淹三日，一度刮,故名长生柜”。李时珍《本草纲目》云“把黄铜打成板片，用好醋泡一夜,放在糠内,微火烤薰,制取铜绿”。</t>
  </si>
  <si>
    <t>樫鸟蓝</t>
  </si>
  <si>
    <t>蜻蜓蓝</t>
  </si>
  <si>
    <t>鱼师青</t>
  </si>
  <si>
    <t>个头小的翠鸟亦称鱼师，翠鸟之属,雄鸟红羽为翡，雌鸟青羽为翠。鱼师,即翠鸟。陆佃《埤雅》载“翠小者,谓之翠碧鸟，一名鱼师”。李时珍《本草纲目》载“（天狗、水狗、鱼虎、鱼师、翠碧鸟）狗、虎、师，皆兽之噬物者。此鸟害鱼，故得此类命名”。</t>
  </si>
  <si>
    <t>法翠</t>
  </si>
  <si>
    <t xml:space="preserve">又称孔雀绿、吉翠,翠蓝透亮之瓷色。《南窑笔记》载“法蓝、法翠二色,旧惟成窑有,翡翠最佳。本朝有陶司马驻昌南传此二色,云出自山东琉璃窑也。其制,用涩胎上色,复入窑烧成者,用石末、铜花、牙硝为法翠，加入青料为法蓝”。孔雀与翠鸟，一旦表征颜色,都美得令人窒息,美得不真实。 </t>
  </si>
  <si>
    <t>黛绿</t>
  </si>
  <si>
    <t>黛绿：墨绿。</t>
  </si>
  <si>
    <r>
      <rPr>
        <sz val="11"/>
        <color theme="1"/>
        <rFont val="Microsoft YaHei UI"/>
        <charset val="134"/>
      </rPr>
      <t>䌦</t>
    </r>
    <r>
      <rPr>
        <sz val="11"/>
        <color theme="1"/>
        <rFont val="方正粗黑宋简体"/>
        <charset val="134"/>
      </rPr>
      <t>色</t>
    </r>
  </si>
  <si>
    <r>
      <rPr>
        <sz val="11"/>
        <color theme="1"/>
        <rFont val="Microsoft YaHei UI"/>
        <charset val="134"/>
      </rPr>
      <t>䌦</t>
    </r>
    <r>
      <rPr>
        <sz val="11"/>
        <color theme="1"/>
        <rFont val="方正粗黑宋简体"/>
        <charset val="134"/>
      </rPr>
      <t>是不青不黄的间色,既发既渡,象征生命正在展开、抒发。 顾野王《玉篇》曰“</t>
    </r>
    <r>
      <rPr>
        <sz val="11"/>
        <color theme="1"/>
        <rFont val="Microsoft YaHei UI"/>
        <charset val="134"/>
      </rPr>
      <t>䌦</t>
    </r>
    <r>
      <rPr>
        <sz val="11"/>
        <color theme="1"/>
        <rFont val="方正粗黑宋简体"/>
        <charset val="134"/>
      </rPr>
      <t>,大到切绿也”。《声类》曰“</t>
    </r>
    <r>
      <rPr>
        <sz val="11"/>
        <color theme="1"/>
        <rFont val="Microsoft YaHei UI"/>
        <charset val="134"/>
      </rPr>
      <t>䌦</t>
    </r>
    <r>
      <rPr>
        <sz val="11"/>
        <color theme="1"/>
        <rFont val="方正粗黑宋简体"/>
        <charset val="134"/>
      </rPr>
      <t>,绿色也”。《重修广的》曰“</t>
    </r>
    <r>
      <rPr>
        <sz val="11"/>
        <color theme="1"/>
        <rFont val="Microsoft YaHei UI"/>
        <charset val="134"/>
      </rPr>
      <t>䌦</t>
    </r>
    <r>
      <rPr>
        <sz val="11"/>
        <color theme="1"/>
        <rFont val="方正粗黑宋简体"/>
        <charset val="134"/>
      </rPr>
      <t>,不青不黄”。 【</t>
    </r>
    <r>
      <rPr>
        <sz val="11"/>
        <color theme="1"/>
        <rFont val="Microsoft YaHei UI"/>
        <charset val="134"/>
      </rPr>
      <t>䌦】</t>
    </r>
    <r>
      <rPr>
        <sz val="11"/>
        <color theme="1"/>
        <rFont val="方正粗黑宋简体"/>
        <charset val="134"/>
      </rPr>
      <t>(</t>
    </r>
  </si>
  <si>
    <t>软翠</t>
  </si>
  <si>
    <t>“杀身炎洲里，委羽玉堂阴”，所谓点翠这门手艺，取的是翠鸟羽毛，羽毛的部位不一样，点翠的颜色也不一样，软翠是翠鸟颈部的羽毛色点翠是中国传统的金属工艺和羽毛工艺的结合，根据所取翠鸟羽毛部位和工艺的不同，可以呈现宝蓝、翠蓝、蕉月、湖色、深藏青等不同色彩。软翠是翠鸟颈部的羽毛色，尊贵端庄。。</t>
  </si>
  <si>
    <t>黯</t>
  </si>
  <si>
    <r>
      <rPr>
        <sz val="11"/>
        <color theme="1"/>
        <rFont val="方正粗黑宋简体"/>
        <charset val="134"/>
      </rPr>
      <t>深黑色。《史记·孔子世家》云：“黯然而黑”。南朝江淹有：“日月郁华，风云黯色”。也常形容情绪的低落。</t>
    </r>
    <r>
      <rPr>
        <sz val="11"/>
        <color theme="0" tint="-0.499984740745262"/>
        <rFont val="方正粗黑宋简体"/>
        <charset val="134"/>
      </rPr>
      <t>黯：深黑色、泛指黑色。</t>
    </r>
  </si>
  <si>
    <r>
      <rPr>
        <sz val="11"/>
        <color theme="1"/>
        <rFont val="方正粗黑宋简体"/>
        <charset val="134"/>
      </rPr>
      <t>青</t>
    </r>
    <r>
      <rPr>
        <sz val="11"/>
        <color theme="1"/>
        <rFont val="宋体"/>
        <charset val="134"/>
      </rPr>
      <t>雘</t>
    </r>
  </si>
  <si>
    <r>
      <rPr>
        <sz val="11"/>
        <color theme="1"/>
        <rFont val="方正粗黑宋简体"/>
        <charset val="134"/>
      </rPr>
      <t>中国画传统颜料色之石青和石绿,矿石名字是蓝铜矿和孔雀石。上古对二者共生的矿石统称青</t>
    </r>
    <r>
      <rPr>
        <sz val="11"/>
        <color theme="1"/>
        <rFont val="宋体"/>
        <charset val="134"/>
      </rPr>
      <t>雘</t>
    </r>
    <r>
      <rPr>
        <sz val="11"/>
        <color theme="1"/>
        <rFont val="方正粗黑宋简体"/>
        <charset val="134"/>
      </rPr>
      <t>。语出《山海经·南山经》“又东三百里,日青丘之山,其阳多玉,其阴多青</t>
    </r>
    <r>
      <rPr>
        <sz val="11"/>
        <color theme="1"/>
        <rFont val="宋体"/>
        <charset val="134"/>
      </rPr>
      <t>雘</t>
    </r>
    <r>
      <rPr>
        <sz val="11"/>
        <color theme="1"/>
        <rFont val="方正粗黑宋简体"/>
        <charset val="134"/>
      </rPr>
      <t xml:space="preserve">”，从此就有了丹青。到了周代,政府职位设立专门管理包括青雘在内的矿产的官员，《周礼·秋官》记载:“职金,掌凡金玉锡石丹青之戒令……入其玉石丹青于守藏之府。”我们现在常说的“丹青”就出自这里，丹是丹粟（朱砂)、青是青雘(石青和石绿)，职金的职责是掌管戒令，监督库存。东汉文理双全的张衡写《南都赋》，其中写道:“绿碧紫英, 青雘丹粟。”蓝铜矿是石青,孔雀石是石绿,它们二者经常是共生的,所以青雘代表着从绿到蓝的宽泛色值区间。在宋代以前,石青、石绿为主调的工笔重彩是中国画的主流,其中的巅峰代表作是北宋画家王希孟的《千里江山图》。 石绿不是单一的色值,石青也不是单一的色值,这两种矿石在成为颜料之前都要经过研磨和淘漂，第一轮沉淀筛选出来的成品是头绿和头青，色值相对较深,后面二绿和二青、三绿和三青、四绿和四青,色值逐渐变淡。 </t>
    </r>
  </si>
  <si>
    <t>黛色</t>
  </si>
  <si>
    <t>74，66，102</t>
  </si>
  <si>
    <r>
      <rPr>
        <sz val="11"/>
        <color theme="1"/>
        <rFont val="方正粗黑宋简体"/>
        <charset val="134"/>
      </rPr>
      <t>青黑色。原为矿物颜料，古代女子常以之画眉。欧阳修曾有词“浅螺黛，淡燕脂，闲时妆取次宜”。后人常以“螺黛”“粉黛”做美女之喻。也指山色。词人韦庄以“黛岑”指青黑色的山峰。</t>
    </r>
    <r>
      <rPr>
        <sz val="11"/>
        <color theme="0" tint="-0.499984740745262"/>
        <rFont val="方正粗黑宋简体"/>
        <charset val="134"/>
      </rPr>
      <t>黛：青黑色的颜料。古代女子用以画眉。</t>
    </r>
    <r>
      <rPr>
        <sz val="11"/>
        <color theme="1" tint="0.349986266670736"/>
        <rFont val="方正粗黑宋简体"/>
        <charset val="134"/>
      </rPr>
      <t>黛色为矿石颜料色名，呈天然的青黑色，是千百年来女子美妆时最爱使用的画眉色料，是代表美眉的色彩。《说文解字》说:“</t>
    </r>
    <r>
      <rPr>
        <sz val="11"/>
        <color theme="1" tint="0.349986266670736"/>
        <rFont val="宋体"/>
        <charset val="134"/>
      </rPr>
      <t>黱</t>
    </r>
    <r>
      <rPr>
        <sz val="11"/>
        <color theme="1" tint="0.349986266670736"/>
        <rFont val="方正粗黑宋简体"/>
        <charset val="134"/>
      </rPr>
      <t>，画眉墨也。”黛是</t>
    </r>
    <r>
      <rPr>
        <sz val="11"/>
        <color theme="1" tint="0.349986266670736"/>
        <rFont val="宋体"/>
        <charset val="134"/>
      </rPr>
      <t>黱</t>
    </r>
    <r>
      <rPr>
        <sz val="11"/>
        <color theme="1" tint="0.349986266670736"/>
        <rFont val="方正粗黑宋简体"/>
        <charset val="134"/>
      </rPr>
      <t>的俗字。黛色则出自一种原产自西域，对皮肤有染色作用的矿物——黛石，自南北朝起又称青石。清人段玉裁注《通俗文》曰“染青石谓之点黛”。古埃及人不分男女，均用墨绿色的黛石细描眼线，其目的是增加脸部轮廓的立体美感。而古代妇女以石墨或黛石画眉增添艳丽美感的历史，可上溯至春秋时代，方法是将眉毛修剪过后，再以青石做的眉笔补画上美丽的眉形。现代人称双眸为“灵魂之窗”，古人则视双眉为“七情之虹”，可以因其不同形态而产生各种令人怜爱的神情与媚态，而且不同朝代所流行的眉形也大相径庭，如蛾眉、柳叶眉以及新月眉等。《诗经·硕人》中的“嗪首蛾眉，巧笑倩兮，美目盼兮”，就是2000多年前的美眉标准。
黛眉在秦朝流行细而长的眉形。从汉代开始，当时的女子喜欢把原来的眉毛全部剃掉，再用青石勾勒出适合自己脸蛋的眉形，好让容颜更出众、更妩媚动人。而柳叶眉是风行干百年、历久不衰的眉姿。
用黛石饰眉的风气到了隋代更掀起了高潮，因为隋炀帝为讨好爱妃吴绛，特别从西域波斯国引进了每颗价值十金的画眉矿石——螺子黛，结果宫中众妃嫔无不争相使用这种贵重的舶来品。到了唐代，有画眉癖好的唐玄宗更特别命画师绘画“十眉图”,以作为宫中妃嫔的饰眉天书。
在唐人的诗词中，黛色又代表大自然的浓绿景色，像杜甫的《古柏行》即云:“双皮溜雨四十围，黛色参天二千尺。”诗中的黛色是指雨中高大的老柏树浓青阴郁的颜色。而王维的“千里横黛色，数峰出云间”(《崔濮阳兄季重前山兴》），则是描写远眺云雾中的群山与绿林横抹的宽广视野。</t>
    </r>
  </si>
  <si>
    <t>鸦青</t>
  </si>
  <si>
    <r>
      <rPr>
        <sz val="11"/>
        <color theme="1"/>
        <rFont val="方正粗黑宋简体"/>
        <charset val="134"/>
      </rPr>
      <t>青蓝色。传说鸦为皇帝的暗青色神鸟，此色华美而不俗，在明代服饰中搭配鹅黄、桃红，极受当时女子追捧。</t>
    </r>
    <r>
      <rPr>
        <sz val="11"/>
        <color theme="0" tint="-0.499984740745262"/>
        <rFont val="方正粗黑宋简体"/>
        <charset val="134"/>
      </rPr>
      <t>鸦青：鸦羽的颜色。即黑而带有紫绿光的颜色。</t>
    </r>
  </si>
  <si>
    <t>松石</t>
  </si>
  <si>
    <t>松石，据说因为“形似松球，色近松绿”而得名，但绿松石的上等品实际是蓝色、因为可以想象成月亮的颜色，所以到了清代,绿松石成为皇帝祭月的指定饰品,《清史稿·舆服志》说:“(朝珠）惟祀天以青金石为饰，祀地珠用蜜珀，朝日用珊瑚,夕月用绿松石,杂饰惟宜。绦皆明黄色。” 古人画松石，常以黛或墨来着色。松石色的流行,可上溯到人类活动的早期,河南省新郑市裴李岗、舞阳县贾湖、新郑市沙窝李,发现距今8000到7000年的多件绿松石玉器。夏代二里头考古，在宫城南墙围垣同时发现绿松石作坊和铜作坊,而夏代遗宝的绿松石龙形器和嵌绿松石兽面纹铜饰牌,又印证了夏代绿松石在上层社会的流行。</t>
  </si>
  <si>
    <r>
      <rPr>
        <sz val="11"/>
        <color theme="1"/>
        <rFont val="方正粗黑宋简体"/>
        <charset val="134"/>
      </rPr>
      <t>青</t>
    </r>
    <r>
      <rPr>
        <sz val="11"/>
        <color theme="1"/>
        <rFont val="宋体"/>
        <charset val="134"/>
      </rPr>
      <t>緺</t>
    </r>
  </si>
  <si>
    <r>
      <rPr>
        <sz val="11"/>
        <color theme="1"/>
        <rFont val="方正粗黑宋简体"/>
        <charset val="134"/>
      </rPr>
      <t>汉代九卿高官紫青色绶带的颜色，《史记》里讲“拜为二千石，佩青</t>
    </r>
    <r>
      <rPr>
        <sz val="11"/>
        <color theme="1"/>
        <rFont val="宋体"/>
        <charset val="134"/>
      </rPr>
      <t>緺</t>
    </r>
    <r>
      <rPr>
        <sz val="11"/>
        <color theme="1"/>
        <rFont val="方正粗黑宋简体"/>
        <charset val="134"/>
      </rPr>
      <t>出宫门”的得意,这是人生大目标的实现。许慎《说文解字·系部》：“</t>
    </r>
    <r>
      <rPr>
        <sz val="11"/>
        <color theme="1"/>
        <rFont val="宋体"/>
        <charset val="134"/>
      </rPr>
      <t>緺</t>
    </r>
    <r>
      <rPr>
        <sz val="11"/>
        <color theme="1"/>
        <rFont val="方正粗黑宋简体"/>
        <charset val="134"/>
      </rPr>
      <t>,绶紫青色也”。古代官印佩戴于身，绶即系印纽的丝带。汉代印绶有四个等级,相国、丞相、太尉为金印紫绶，御史大夫为银印青授,青绶也就是青</t>
    </r>
    <r>
      <rPr>
        <sz val="11"/>
        <color theme="1"/>
        <rFont val="宋体"/>
        <charset val="134"/>
      </rPr>
      <t>緺</t>
    </r>
    <r>
      <rPr>
        <sz val="11"/>
        <color theme="1"/>
        <rFont val="方正粗黑宋简体"/>
        <charset val="134"/>
      </rPr>
      <t>,其色自有贵气。青</t>
    </r>
    <r>
      <rPr>
        <sz val="11"/>
        <color theme="1"/>
        <rFont val="宋体"/>
        <charset val="134"/>
      </rPr>
      <t>緺</t>
    </r>
    <r>
      <rPr>
        <sz val="11"/>
        <color theme="1"/>
        <rFont val="方正粗黑宋简体"/>
        <charset val="134"/>
      </rPr>
      <t>色的授带，在汉代是高级别官员才能佩戴的。汉代的官印要随身携带，腰侧有专门放置印的囊，印放于囊中，印上面系的长绶带要以大回环垂于腹前，别人一看绶带色彩，便知其身份地位。佩绶制度在战国、秦代就有，在汉代发扬光大，规定很详细:汉高祖时，三公为金印紫绶、御史大夫、九卿和二千石以上官员为银印青绶，二千石以下、六百石以上是铜印黑绶,六百石以下、二百石以上是铜印黄绶。青绶就是青</t>
    </r>
    <r>
      <rPr>
        <sz val="11"/>
        <color theme="1"/>
        <rFont val="宋体"/>
        <charset val="134"/>
      </rPr>
      <t>緺</t>
    </r>
    <r>
      <rPr>
        <sz val="11"/>
        <color theme="1"/>
        <rFont val="方正粗黑宋简体"/>
        <charset val="134"/>
      </rPr>
      <t>授、它的颜色是紫青色。</t>
    </r>
  </si>
  <si>
    <t>螺子黛</t>
  </si>
  <si>
    <t>女子化妆所用。其色妩媚，其意贵奢。中古时代的海外进口奢侈品，据说《甄娘传》《琅琊榜》都做了“植入广告”，那么必定是大牌的颜色了。螺子黛，出自神秘的波斯进口眉笔的描眉颜色。螺子黛很出名，出名的原因,一是因为《甄嬛传》里华妃为这个进口奢侈品而与甄嬛争风吃醋,二是因为《琅琊榜》里皇后嫉妒皇帝送这个给越妃,连内宫贵人们都拼抢不到的描眉颜色,自然是很厉害的。 唐代学者颜师古的《隋遗录》记载:“(吴绛仙善画长蛾眉）由是殿脚女争效为长蛾眉，司宫吏日给螺子黛五斛，号为蛾绿。螺子黛出波斯国，每颗值十金。后征赋不足，杂以铜黛给之，独绛仙得赐螺子黛不绝。”螺子黛是蛾绿色,原产波斯国、价格昂贵,吴绛仙受隋炀帝宠爱,比别的宫人更能得到这种奢侈化妆品。 通常描眉颜色使用青黛，青黛来自靛青制作过程中浮在液面的泡沫，捞出晒干，即为青黛。螺子黛，神秘在于很难判断它的成分,可能是在青黛的基础上加入特殊成分，保证了螺子黛颜色的独特性和描眉时颜色还原的简便。</t>
  </si>
  <si>
    <t>淡藤萝紫</t>
  </si>
  <si>
    <t>马鞭草紫</t>
  </si>
  <si>
    <t>丁香淡紫</t>
  </si>
  <si>
    <t>芝兰紫</t>
  </si>
  <si>
    <t>昌荣</t>
  </si>
  <si>
    <t>其名采紫草者，其色云中紫草，其意守道慕仙。《浔阳记》曰“石井山,曾有行人见山上有采紫草者。此人谓村人,揭备而往见,山上人便去。闻有呼昌容者,曰人来取尔草!既至山顶,寂寞无所见”。殷王女的传说，最妙是“既至山顶，寂寞无所见”，云中紫草，不见也罢，既昌且荣，必是好颜色。</t>
  </si>
  <si>
    <t>淡青紫</t>
  </si>
  <si>
    <t>远山紫</t>
  </si>
  <si>
    <t>淡牵牛紫</t>
  </si>
  <si>
    <t>紫藤</t>
  </si>
  <si>
    <t>紫藤色来自一种藤蔓植物紫藤花的花色，属于粉紫色系列。古代惜花人评赏紫色花颜时认为，深紫表示美丽浓艳，粉紫则代表清淡美悦。而粉紫色的紫藤花雩，无论是花形还是色泽，自古即受到众人的喜爱与赏识，呈明亮轻盈色感的紫藤色也因此得名。紫藤又名藤萝，别称朱藤,属豆科藤本落叶树木，是历史悠久的观赏花和蔓生的草木之一。紫藤最早在专述华夏神话故事的《山海经·大荒西经》中已现踪迹，而且是与传说中创造人类的女神女娲有关:话说有一天女娲随手摘下一枝攀附山岩上的粗大紫藤，将紫藤和以稀泥后凌空挥舞，结果四散的泥巴溅洒到土地上立即变成众多的人形，有男有女，自此世上人类繁衍生息，绵延不绝。属攀附性植物的紫藤每年4—6月开粉紫色花朵，有花香味，多数生成下垂的串状花序，盛放时,近看繁花像—串串垂挂的风铃，远观则紫光流逸，仿若一阵阵轻盈飘洒的紫雨，十分赏心悦目。而虬曲蜿蜒的紫藤的老干枝，又可制成造型朴拙的家具以及可承载人的兜轿:“只消得顺天风驾一片白云，煞强似你那宣使乘的紫藤兜轿稳。”(元朝马致远，杂剧《西华山陈抟高卧》)
清乾隆年间著名学者纪昀独钟情于紫藤,在他的《阅微草堂笔记》中记有:“藤今犹在，其架用梁栋之材，始能支拄，其阴覆厅事一院,其蔓旁引，又覆西偏书室一院。花时紫云垂地,香气袭衣。”在今位于北京珠市口西大街的纪晓岚故居阅微草堂，紫藤照旧是浓绿盎然繁花盛开。而粉紫的花色历久弥新，至今依然流行。</t>
  </si>
  <si>
    <t>凤信紫</t>
  </si>
  <si>
    <t>雪青</t>
  </si>
  <si>
    <t>雪青：浅蓝紫色</t>
  </si>
  <si>
    <t>紫薄汗</t>
  </si>
  <si>
    <t>汗血宝马中的神品，汗色也是靠拢三公子，虽是薄薄渗出，足以论颜色。</t>
  </si>
  <si>
    <t>暮山紫</t>
  </si>
  <si>
    <t>语出王勃《滕王阁序》“潦水尽而寒潭清,烟光凝而暮山紫”。云树苍苍，暮光凝噎,烟靠山紫，这是中国美学独有的、不可言传的大自然之美。</t>
  </si>
  <si>
    <t>丁香</t>
  </si>
  <si>
    <r>
      <rPr>
        <sz val="11"/>
        <color theme="1"/>
        <rFont val="方正粗黑宋简体"/>
        <charset val="134"/>
      </rPr>
      <t>丁香花色,痴爱情结。我希望逢着/一个丁香一样地/结着愁怨的姑娘/她是有/丁香一样的颜色/丁香一样的芬芳/丁香一样的忧愁”。</t>
    </r>
    <r>
      <rPr>
        <sz val="11"/>
        <color theme="0" tint="-0.349986266670736"/>
        <rFont val="方正粗黑宋简体"/>
        <charset val="134"/>
      </rPr>
      <t>丁香色：紫丁香的颜色，浅浅的紫色，很娇柔淡雅的色彩</t>
    </r>
  </si>
  <si>
    <t>淡蓝紫</t>
  </si>
  <si>
    <t>萝兰紫</t>
  </si>
  <si>
    <t>青蛤壳紫</t>
  </si>
  <si>
    <t>木槿</t>
  </si>
  <si>
    <t>木槿花朝开暮落，比樱花的生命还要决绝和果敢,《诗经》里称它为“舜华”。</t>
  </si>
  <si>
    <t>茈藐</t>
  </si>
  <si>
    <t>《山海经·西山经》曰“北五十里曰劳山,多芘草”。芘藐，即染料之紫草。芘草是重要的紫色染料。《齐民要术》里说：“（种紫草）其利胜蓝。”紫草的商业价值大于蓝草。出自《山海经》的上古紫草，通神附灵，仿佛看到上空飞过、侧旁奔过那些令人心驰神往的奇鸟异兽。</t>
  </si>
  <si>
    <r>
      <rPr>
        <sz val="11"/>
        <color theme="1"/>
        <rFont val="方正粗黑宋简体"/>
        <charset val="134"/>
      </rPr>
      <t>紫</t>
    </r>
    <r>
      <rPr>
        <sz val="11"/>
        <color theme="1"/>
        <rFont val="宋体"/>
        <charset val="134"/>
      </rPr>
      <t>菂</t>
    </r>
  </si>
  <si>
    <t>菂即莲子。紫菂,指莲蓬包裹下的初生嫩莲子,呈紫色。莲池里，霓带霞衣,摇红涤翠，却不及一低头的温柔,在莲蓬包裹的初生嫩莲子里、春心脉脉不得语。</t>
  </si>
  <si>
    <t>樱草紫</t>
  </si>
  <si>
    <t>紫苑</t>
  </si>
  <si>
    <t>别名紫苑、紫倩。紫苑的紫，并不来自染色，而是直接取自花色。日本的传统色里也有这个色名，同出于紫苑花的花色。模仿紫苑花的颜色，其染色来自红花合靛青的复染。</t>
  </si>
  <si>
    <t>豆蔻紫</t>
  </si>
  <si>
    <t>藤萝紫</t>
  </si>
  <si>
    <t>紫蒲</t>
  </si>
  <si>
    <t>其色水岸紫蒲,其意生机自然。张籍讲“紫蒲生湿岸，青鸭戏新波”，让人萌生回到流水人家、夕烟田间的冲动，这是生灵脉脉有情的色彩。</t>
  </si>
  <si>
    <t>扁豆紫</t>
  </si>
  <si>
    <t>紫茎屏风</t>
  </si>
  <si>
    <t>张翰因为思念紫色根茎、紫色叶背的莼菜羹,官都不做了,这个颜色或许就是人生的“小确幸”。语出《楚辞·招魂》“紫茎屏风,文缘波些”。屏风,即水葵,又名荇菜、蔬菜, 莼菜。茎呈紫色。</t>
  </si>
  <si>
    <t>槿紫</t>
  </si>
  <si>
    <t>螺甸紫</t>
  </si>
  <si>
    <t>紫色</t>
  </si>
  <si>
    <t>141，75，187</t>
  </si>
  <si>
    <r>
      <rPr>
        <sz val="11"/>
        <color theme="1"/>
        <rFont val="方正粗黑宋简体"/>
        <charset val="134"/>
      </rPr>
      <t xml:space="preserve">由暖色调的红色与冷色调的蓝色混合而成的紫色，在古代曾经超越五正色中的朱红色，成为政治与社会地位上最尊贵、最具权势的颜色。在宋代之前,紫色曾经属于帝王之色。而在道教中紫色代表神仙境界与祥瑞的色彩。清浅的淡紫色流露出高贵雅丽的色感，而紫色愈浓烈，它的神秘感与俗艳色感就愈强烈逼人。紫色的花卉随处可见，而紫色的布帛织品在古时是利用植物茈草的根部做染材经重复浸染而成。紫字从“纟”，即表示以芘草染成的丝织物，其色泽称作紫。紫字出现的年代较晚，照推算大约出现于金文或篆文的春秋战国时期，早期是民间妇女喜用的服色。在先秦时期，南方有描述采桑姑娘的劳动与服色的歌谣:“采桑盛阳月，绿叶何翩翩!攀条上树表，牵坏紫罗裙。”(《采桑度》)《乐府诗集·陌上桑》则云:“湘绮为下裙，紫绮为上襦。”诗中的湘是淡黄色,绮是织有花纹的丝织品,襦是短袄;紫与黄是互补色，对比鲜明，反差强烈，所以能增强本色的鲜明度，也反映出古人在衣色配搭上的审美观点。
古人又认为这种介乎红与蓝之间的色泽有瑕疵且会迷惑人:“紫，疵也,非正色。五色之疵瑕,以惑人者也。”(《释名》)而据史料记载，最早把紫色衣饰带进宫廷而不按照周代衣冠制的，是公元前8世纪春秋时期鲁国君主桓公，《礼记·玉藻篇》曰:“玄冠紫绣，自鲁桓公始也。”按《周礼》规定，诸侯所戴的头冠应是“缁布冠绩委”，缁是黑色，绩是以麻捻成的线或绳，绫是系冠的带子;鲁桓公却喜爱玄（透暗红的黑色）冠，以及紫色的冠带。而首位将紫服当作王袍的，是春秋时期的第一位霸主齐桓公，结果引发全国上下跟风仿效，以至紫色衣服供不应求，最后演变成当时紫染的布帛售价最昂贵。难怪齐桓公无奈地对下卿管仲说:“寡人好服紫，紫甚贵，一国百姓好服紫不已，寡人奈何?”齐桓公是一位声名显赫的君主，竟然喜穿间色的紫袍，这对当时传统五正色色彩观与礼教来说，是叛逆的行为。大约过了100年后才出生的孔子，因维护周礼而厌恶紫色，孔子认为周代尚赤，以朱为正色，紫只属杂色、间色，今紫色抢走了朱色的地位，即象征朝代的灭亡与更替，所以孔老夫子有“恶紫夺朱”(《论语·阳货》)的说法，其意不单指颜色之争，话中还有反对周朝遭逆篡的政治含义。
首位确定紫服为龙袍的是汉武帝刘彻。汉武帝除了把正色之外的紫色钦定为御服色外，还把传统习例——皇帝赐赏群臣金印的系章丝带（绶）一律改用紫色，最后成为汉代相国、丞相、太尉等高级朝臣的标准官服配备，成语如“金印紫绶”“带金配紫”和“怀黄佩紫”等即由此而生。至此紫色正式与皇权及达官贵人的显赫声名画上了等号，成为帝权显贵的代表色彩。
紫色在道教中又被视为至高无上的境界，相传老子有紫气罩身，因此成语“紫气东来”是指祥瑞之气与圣贤出现的预兆。在道教信仰中，天上最高位的神仙称紫皇，紫微宫是天帝的居所，宇宙称作紫宙、紫穹，天空叫紫霄、紫虚、紫清或紫冥，神仙的住所称紫庭、紫寰、紫禁及紫极,而紫阳是神仙的称号,神仙脚踏紫云而行,紫电是比喻瑞光。道士穿紫袍,道家方士的炼丹房叫紫房,《道经》称为紫书,紫若则是隐士的住处。紫色对道教而言,就是代表最高的境界与神圣的色彩。就因道教推崇及尊重紫色,最后影响并衍生出历朝对王室御居与政府重要机构的命名与称谓，例如称皇宫为紫阙、紫闱，紫禁城即皇帝的御所，紫县代表中国，紫历代表国运，帝王祭祀天地的主场地叫紫坛，紫盖是皇帝的车驾，紫枢指朝廷中枢机构，宰相府称为紫阁等。此外，紫磨是指上等质纯的黄金，而以红铜铸造的铜钱又别称紫绀钱等。
唐代是一个活泼开放、色彩缤纷的朝代,唐人对迷人的紫色亦喜爱有加，紫色是唐朝公主的指定用伞颜色。武则天当皇帝时，曾赏赐老臣子狄仁杰代表最高荣誉的紫袍金龟印（章)。唐初官吏朝服仍仿照前朝隋代，以颜色区分官阶的高低。在唐高祖武德年间，一品至三品高官服色为紫，三品以下依次为朱、绿及青色，即间色的紫服地位高于正色的朱与青。而“红得发紫”是比喻官运亨通、步步高升。因此紫色在唐代是代表帝权显贵的颜色;而紫袈裟则为佛教汉化后属最高荣誉的唐僧服色。宋代朝服色亦沿袭唐代。到了明初改朝换代后，因开国皇帝明太祖姓朱，而朱又属颜色中的正色，朱元璋又忌讳《论语》中“恶紫夺朱”的观点，遂将紫色自官服色中废除不用，并提升朱色为高位阶的官服色。自此荣耀了逾1500年的紫色终于让位，换成朱及红色作为最显赫与好彩头的颜色，这个风俗习惯一直流传到现在。
浓紫亦用来形容夏秋时节太阳将尽时，天际间所呈现的美丽色彩，在现代专业摄影术语中，称这种在天黑前短暂辉耀的神秘艳色时刻为“魔幻时光”( magic hour )。然而唐代诗人李贺已经运用诗文准确描绘出这种绚丽的大自然天象色彩:“角声满天秋色里,塞上燕脂疑夜紫。”(《雁门太守行》)诗中角声指号角声，燕脂是指暮色霞光，凝夜紫是形容暮色渐深，塞外的天空被染成一片浓蓝紫色。
</t>
    </r>
    <r>
      <rPr>
        <sz val="11"/>
        <color theme="0" tint="-0.499984740745262"/>
        <rFont val="方正粗黑宋简体"/>
        <charset val="134"/>
      </rPr>
      <t>紫色：蓝和红组成的颜色。古人以紫为祥瑞的颜色。代指与帝王、皇宫有关的事物。</t>
    </r>
  </si>
  <si>
    <t>紫府</t>
  </si>
  <si>
    <t>仙府气色,如云似霞。《红楼梦》写贾宝玉梦遇警幻仙姑,警幻是“瑶池不二,紫府无双”,仙女中的仙女。</t>
  </si>
  <si>
    <t>蕈紫</t>
  </si>
  <si>
    <t>优昙瑞</t>
  </si>
  <si>
    <t>《大正藏》曰“优昙瑞世花,既涤名蓝之篆。首座僧中月，兹和退位之光”。《法华文句》曰“优昙花者,此言灵瑞。三千年一现”。优昙瑞,其色或近牵牛花之雪青色。陈曾寿讲雪青色的牵牛花好似优昙瑞,这也是颜色意象。</t>
  </si>
  <si>
    <t>山梗紫</t>
  </si>
  <si>
    <t>玫瑰紫</t>
  </si>
  <si>
    <t>洋葱紫</t>
  </si>
  <si>
    <t>黝</t>
  </si>
  <si>
    <t>黝：本义为淡黑色或微青黑色</t>
  </si>
  <si>
    <t>紫紶</t>
  </si>
  <si>
    <t>贝蛤染色之紫。日本染匠吉冈常雄曾奔走东西岛屿十七年，考证贝染之紫，终于写得一部《帝王紫探访》。</t>
  </si>
  <si>
    <t>乌色</t>
  </si>
  <si>
    <t>乌色：暗而呈黑的颜色</t>
  </si>
  <si>
    <t>拂紫绵</t>
  </si>
  <si>
    <t>推想当年，燕脂紫绵，拂色堪怜。拂紫绵是窈窕女子好容之妆色。“铜镜立青鸾,燕脂拂紫绵”，白皙纤手和胭脂紫绵,女为悦已者容。</t>
  </si>
  <si>
    <t>芥花紫</t>
  </si>
  <si>
    <t>藏蓝</t>
  </si>
  <si>
    <t>藏蓝：蓝里略透红色</t>
  </si>
  <si>
    <t>桔梗紫</t>
  </si>
  <si>
    <t>芓紫</t>
  </si>
  <si>
    <t>延维</t>
  </si>
  <si>
    <t>出自《山海经》的上古大神,紫衣双头怪,有点萌，听到打雷就抱头发呆不会动,你送给他一个抱抱,他许给你一个江山，这是君临天下的颜色。延维是霸主之神的服色。语出《山海经·海内经》“有神焉,人首蛇身,长如辕,左右有首,衣紫衣,冠旃冠,名曰延维,人主得而飨食之,伯天下”。延维又称委蛇,齐桓公见过它。《庄子·达生》讲“委蛇,其大如毂,其长如辕,紫衣而朱冠。其为物也,恶闻雷车之声，则捧其首而立。见之者殆乎霸”。“虚与委蛇”的典故,出自它“左右有首”。</t>
  </si>
  <si>
    <t>野菊紫</t>
  </si>
  <si>
    <t>地血</t>
  </si>
  <si>
    <t>中药紫草之别称。吴普《吴氏本草》日“紫草，一名地血。节赤，二月华”。张志聪《本草崇原》日“紫草色紫,得火气也。苗似兰香,得土气也。火土相生，能资中焦之精汁,而调和其上下也”。紫草之紫得火气,兰香之苗得土气,火土相生,中和万象。</t>
  </si>
  <si>
    <t>绛紫</t>
  </si>
  <si>
    <t>绛紫：紫中略带红的颜色。</t>
  </si>
  <si>
    <t>青莲</t>
  </si>
  <si>
    <t>128,29,174</t>
  </si>
  <si>
    <r>
      <rPr>
        <sz val="11"/>
        <color theme="1"/>
        <rFont val="方正粗黑宋简体"/>
        <charset val="134"/>
      </rPr>
      <t xml:space="preserve">莲花天生有多种不同的美丽颜色，青莲色是指色彩偏蓝调的紫莲花色。青莲色为传统色名，在古时是男女通用的服色。在佛教中，青莲又象征着洁净与修行的信仰色彩。源自天竺的佛教认为莲花洁净无染，青莲则用来比喻明澄的佛眼，如《维摩经》中说“目净修广如青莲”。青莲又代表梵文佛典，中唐诗人刘禹锡的《闻董评事疾因以书赠》中，有“繁露传家学，青莲译梵书”之句。
唐朝是一个君民思想开放的年代，唐人受到佛教的影响，亦以紫色为贵，官吏三品以上的衣色为紫，紫色压倒绯、红色，是最具官位权势的颜色。而佛家僧人获赐“紫袈裟”的最高荣誉与沿用，则始于唐武后的永昌元年，理由是10位大云寺僧伽因受命重译《大云经》有功。《大云经》最早为北凉时期昙无谶所译，经文中有讲述南印度案达罗王朝中公主（名曰增长）继承王位的故事，原与我国无关。据《旧唐书·则天皇后本纪》记载，当时大云寺沙门受命为《大云经》重新注释，为武后做宣传，并伪撰武后是弥勒佛下世,应替代唐朝为天下主。因新译的《大云经》对武则天欲称帝有利,遂下令颁行天下，命众僧讲解，以示天命所在;武则天同时赏赐有功劳的僧人青莲色袈裟，并提升佛教的地位在道教之上。从此青莲紫色僧袍就成为具有中国佛教特色的法衣用色，一直维持到宋代，甚至影响到东南亚邻国僧侣袈服的穿着用色。
青莲色到了清代光绪年间，是王孙贵族世冑阶层的衣饰流行色之一，亦是清代建筑装饰彩绘中的常用颜色。
</t>
    </r>
    <r>
      <rPr>
        <sz val="11"/>
        <color theme="1" tint="0.349986266670736"/>
        <rFont val="方正粗黑宋简体"/>
        <charset val="134"/>
      </rPr>
      <t>蓝紫色。因莲花清净无染，故常用来比喻佛事。唐代刘禹锡又“繁露传家学，青莲译梵书”之句。清代光绪年间，建筑及服饰中常见此色。</t>
    </r>
    <r>
      <rPr>
        <sz val="11"/>
        <color theme="0" tint="-0.499984740745262"/>
        <rFont val="方正粗黑宋简体"/>
        <charset val="134"/>
      </rPr>
      <t>青莲：偏蓝的紫色</t>
    </r>
  </si>
  <si>
    <t>苋菜紫</t>
  </si>
  <si>
    <t>三公子</t>
  </si>
  <si>
    <t>三公子和五品绯都是庙堂,盛唐气象，服色夺目,长安城里的尊贵。语出《敦煌变文·王昭君变文》“牙官少有三公子,首领多饶五品绯”。 “子”应该是“紫”的通假。此处三公子,代指三公高官服色之紫。唐代服色制度几经变革，没有变过的是“三品以上服紫”。三公都是正一品，三公服紫，毫无异议。</t>
  </si>
  <si>
    <t>赪紫</t>
  </si>
  <si>
    <t>其色红紫相间,其意绚烂斑驳。生机比“紫蒲”更上一层,斑驳绚烂,仿佛春天奏鸣曲已经进入小步舞曲的乐章,这是生命傲然绽放的色彩。</t>
  </si>
  <si>
    <t>魏紫</t>
  </si>
  <si>
    <t>洛阳牡丹花后之花色,魏紫是魏红的实生后代,亦称都胜。余鹏年《曹州社丹谱》载“魏紫:紫胎肥茎,枝上叶深绿而大,花紫红。乃周《记》所载都胜”。与“魏红”一脉相承，守本求变，一路奔向帝王们偏爱的紫色。</t>
  </si>
  <si>
    <t>葛巾紫</t>
  </si>
  <si>
    <t>茄子</t>
  </si>
  <si>
    <t>茄子色是固有颜色名词，是指古代从西域引进的蔬菜——茄子的外皮色泽。属外来色彩,色调黑紫油亮，是千余年来中华料理紫色蔬果类中普遍入馔的菜色。
属于瓜果类的茄子原生于古印度，在南北朝时期经西域传入中原，大约在清代末期再经我国传至日本。我国迄今发现最早的关于茄子的文字记录，出自1500多年前的北魏时期，由农学家贾思褫所著的农牧专书《齐民要术》第二卷。最早培植的茄子呈卵圆形，元代则培育出细长棒状的果实。茄子色以紫及绀紫色(浓蓝红色）为主，至今茄子在大江南北都有栽种。
茄子属于茄科茄属一年生草本植物，花开紫色，古称酪酥、昆仑瓜，宋代叫落苏，江浙人称其为六蔬或五茄，广东人则昵称其为矮瓜。茄子虽然是健康蔬果，皮色紫艳，唯独味道平淡无奇，南宋大夫郑清之就写有“青紫皮肤类宰官，光圆头脑作僧看。如何缁俗偏同嗜,入口元来总一般”（《咏茄》)的口味评鉴。只有在《红楼梦》（第四十一回)中，贾府的精致茄子料理才会让刘姥姥吃得直摇头吐舌。紫得发黑的茄子色又是《红楼梦》中出现的高档毛料颜色:“(宝玉)穿一件茄色哆罗呢狐皮袄子……”哆罗呢( tweed)为清代自欧洲进口的一种阔幅粗毛织呢绒料。据说在古代瓷器中曾意外烧出泛现荧光般优雅、仿若茄皮紫色的器物。崛起于北宋后期的钧窑（古窑场，位于今河南省禹县)，是专为皇室烧制御用器皿的官窑。钧窑的基本釉色是深浅不同的各种青色，由于当时工匠在釉料中无意间掺入铜红釉(氧化铜），结果烧成后竟呈现出乎意料幻化莫测的红紫色窑变，产生如海棠红、鸡血红和茄皮紫等多种亮艳釉色。传说整件瓷器会红紫相映，瑰丽斑斓中散发出神秘的光泽。只可惜至今能流传下来的茄皮紫器物非常罕有，后人只能从文献的记载中，揣摩当时出自钧窑的茄皮紫色釉精品的浓艳色彩了。</t>
  </si>
  <si>
    <t>齐紫</t>
  </si>
  <si>
    <t>齐王好紫衣,国中无异色,颜色贵乎材质，更贵乎心理,这是权贵色的经典故事。齐紫是草染还是螺染一直被关注、讨论。篇幅限制，不能展开论文式的叙述，最终的结论是螺染。齐国所在的山东地区,至今盛产一种脉红螺，这种螺的腺体经过发酵,证实可以得到紫色染液，染紫的色牢度很高，产出量可以满足小批量染色，但是这种染液带着大蒜腐烂后的腥臭气味。所以,齐桓公说紫色衣服气味难闻也是实情,紫草染紫是没有难闻气味的。</t>
  </si>
  <si>
    <t>菜头紫</t>
  </si>
  <si>
    <t>黛蓝</t>
  </si>
  <si>
    <t>黛蓝：深蓝色</t>
  </si>
  <si>
    <t>紫灰</t>
  </si>
  <si>
    <t>黛紫</t>
  </si>
  <si>
    <t>黛紫：深紫色</t>
  </si>
  <si>
    <t>满天星紫</t>
  </si>
  <si>
    <t>牵牛紫</t>
  </si>
  <si>
    <t>芥拾紫</t>
  </si>
  <si>
    <t>金印紫缓,大人功名。语出《汉书·夏侯胜传》载“胜每讲授,常谓诸生曰:‘士病不明经术;经术苟明,其敢青紫如俯拾地芥耳。’”。金印紫绶的颜色意象,取功名如俯身拾地芥,也是一种豪气。</t>
  </si>
  <si>
    <t>貂紫</t>
  </si>
  <si>
    <t>凝夜紫</t>
  </si>
  <si>
    <t>语出李贺《雁门太守行》“角声满天秋色里,塞上燕脂凝夜紫”。不去争论是砌长城的紫土还是生于塞上的紫草,宁可去想象北境悲凉的暗夜天色。如果《权力的游戏》有一个中国版本，北境的画面该是这种色调吧,这是生命呜咽悲歌的色彩，一定有长城，有角声，有白龙。</t>
  </si>
  <si>
    <t>龙睛鱼紫</t>
  </si>
  <si>
    <t>剑锋紫</t>
  </si>
  <si>
    <t>鹞冠紫</t>
  </si>
  <si>
    <t>野葡萄紫</t>
  </si>
  <si>
    <t>紫棠</t>
  </si>
  <si>
    <t>紫棠：黑红色</t>
  </si>
  <si>
    <t>暗玉紫</t>
  </si>
  <si>
    <t>龙葵紫</t>
  </si>
  <si>
    <t>甘蔗紫</t>
  </si>
  <si>
    <t>海象紫</t>
  </si>
  <si>
    <t>猪肝紫</t>
  </si>
  <si>
    <t>荸荠紫</t>
  </si>
  <si>
    <t>葡萄紫</t>
  </si>
  <si>
    <t>89，51，94</t>
  </si>
  <si>
    <t>紫色为红、蓝两色的混合色，在古代的紫色系列中，有紫、绀紫（偏蓝色)、赤紫（偏红色)和浓紫(深蓝与深红的混合色)四个色调。葡萄色属于后者，为外来的水果色彩，约自公元前1世纪西汉时期从西域传入中原，泛指葡萄或葡萄酒的色泽，为颜色名词。
葡萄在古时又称蒲萄、蒲桃(《汉书》)以及蒲陶(《史记》）等;葡萄一词应是音译自古希腊文Botrytis或波斯语Budawa;而Butao在中亚细亚的粟特语（属于古伊朗语之一)中是“藤蔓”的意思。西汉外交家张骞于公元前139年出使西域，从大宛国[即今乌兹别克斯坦的费尔干纳( Fergana )地区]把葡萄的种子带回中原播种，因当时大宛人并未传授酿酒的方法，故推算当时人们只把葡萄当水果食用，至于早年的葡萄佳酿纯粹是西域诸国上献中原王朝的贡酒。我国开始酿造葡萄酒约始于唐初，据宋朝四大部书之一的《册府元龟》记载,唐贞观十四年，唐太宗派兵攻打位于新疆吐鲁番东面的高昌国:“太宗破高昌，收马乳葡萄种于苑，并得酒法。”据史料说，吐鲁番地区自4世纪起即有葡萄园种植，高昌国则盛产青、白、紫黑三色品种的葡萄，而古人以果粒形状区分命名，其圆者(青、白葡萄)称“草龙珠”，长身的叫“马乳葡萄”（即紫黑色的葡萄，因长得像马的乳头，故名）。
自唐、宋以来，中原以马乳葡萄为主流品种。唐太宗李世民甚至在京城长安的皇家御林中开辟葡萄园，并亲自监督酿制马乳葡萄酒:“酒成，凡有八色，芳香酷烈，味兼醍翻（酒的通称)，即颁赐群臣，京中始识其味。”(《册府元龟》卷九百七十）龙颜大悦的唐太宗还宣布长安“赐脯三日”（脯通酺，即饮酒作乐），遂演绎成一场唐代的美酒嘉年华节庆。最后这种来自西域的浓紫色琼浆玉液，遂成了盛唐时期的宫廷豪宴以及豪门贵胄间的时尚名饮，风光无比。
葡萄酒的美味及其诱人的色泽亦触发了文人的诗兴与灵感，佳酿的色、香、味不断地在嘴中及字里行间迂回打转,如元代贡性之的“马乳累累压架香，酿就琼浆三百斛”（《题肃万邦葡萄》)。而传诵千古的“葡萄美酒夜光杯，欲饮琵琶马上催。醉卧沙场君莫笑，古来征战几人回”(唐朝王翰《凉州词》)，描写的是戍守边疆凉州(今甘肃省武威县）的将士出生入死，欢乐时光短暂难长久，美酒未及多喝即要上马迎敌的无奈情景。
葡萄色又是古代瓷器的一种釉色，始见于明宣德年间。到了清代，烧制各种釉色无所不能，而且都色泽纯正。在康熙年间就烧出了一种珍贵深沉的紫色，称为“葡萄釉”。服色中的葡萄色在古代是运用染红色的植物染材苏枋木加上蓝草经重复套染而成。而烧成炭末的葡萄藤是国画颜料及书法用墨中的上好黑色材料。</t>
  </si>
  <si>
    <t>栗紫</t>
  </si>
  <si>
    <t>石竹紫</t>
  </si>
  <si>
    <t>绀紫</t>
  </si>
  <si>
    <t>葡萄酱紫</t>
  </si>
  <si>
    <t>磨石紫</t>
  </si>
  <si>
    <t>晶石紫</t>
  </si>
  <si>
    <t>油紫</t>
  </si>
  <si>
    <r>
      <rPr>
        <sz val="11"/>
        <color theme="1"/>
        <rFont val="方正粗黑宋简体"/>
        <charset val="134"/>
      </rPr>
      <t>油是形容色值暗,暗近黑。王得臣《</t>
    </r>
    <r>
      <rPr>
        <sz val="11"/>
        <color theme="1"/>
        <rFont val="宋体"/>
        <charset val="134"/>
      </rPr>
      <t>塵</t>
    </r>
    <r>
      <rPr>
        <sz val="11"/>
        <color theme="1"/>
        <rFont val="方正粗黑宋简体"/>
        <charset val="134"/>
      </rPr>
      <t>史》云“嘉</t>
    </r>
    <r>
      <rPr>
        <sz val="11"/>
        <color theme="1"/>
        <rFont val="宋体"/>
        <charset val="134"/>
      </rPr>
      <t>祐</t>
    </r>
    <r>
      <rPr>
        <sz val="11"/>
        <color theme="1"/>
        <rFont val="方正粗黑宋简体"/>
        <charset val="134"/>
      </rPr>
      <t>染者既入其色,复渍以油,故色重而近黑,曰油紫”。赵彦卫《云麓漫钞》云“仁宗晚年,京师染紫,变其色而加重,先染作青,徐以紫草加染,谓之油紫……淳熙中，北方染紫极鲜明，中国亦效之,目为北紫,盖不先染青,而以绯为脚,用紫草极少。其实复古之紫色而诚可夺朱。”宋仁宗时染油紫,以靛青和紫草复染而成，色相趋于黑紫;宋孝宗时染北紫，以红花和紫草复染而成，近似上古的朱红。。魏泰《东轩笔录》云“又迩来市民染帛，以油渍紫色,谓之油紫”。</t>
    </r>
  </si>
  <si>
    <t>酱紫</t>
  </si>
  <si>
    <t>129,84,118</t>
  </si>
  <si>
    <t>酱紫：紫中略带红的颜色</t>
  </si>
  <si>
    <t>暗龙胆紫</t>
  </si>
  <si>
    <t>金鱼紫</t>
  </si>
  <si>
    <t>火鹅紫</t>
  </si>
  <si>
    <t>卵石紫</t>
  </si>
  <si>
    <t>墨紫</t>
  </si>
  <si>
    <t>李紫</t>
  </si>
  <si>
    <t>乌梅紫</t>
  </si>
  <si>
    <t>茄皮紫</t>
  </si>
  <si>
    <t>暗蓝紫</t>
  </si>
  <si>
    <t>深牵牛紫</t>
  </si>
  <si>
    <t>白色</t>
  </si>
  <si>
    <t>“白”字最早出现在甲骨文中,本义为“虚空”。“白”又属象形文字，在日字左上角加上—撇，表示日光放射之形，即“太阳之明为白”，故“白”在古代也是颜色词，指素色、白色。
日光的白色在《易经》中与晚上的黑色分别代表阳极和阴极，表示宇宙世界日夜运行、循环不息的自然天文现象。白色在古代的“五色行”说中属五正色之一，方位代表西方，是秋收的色彩。古人又对“白”的颜色进行定义，做了一个很有趣的比喻:“白，启也，如水启时色也。”(《释名》）若用现代汉语翻译，就是说打开水龙头时，水流出的颜色即为白色。古人形容风把尘吹走为“洁白也”;“白”亦指书衣中的蛀书虫及其颜色。白色在传统色彩观念中，会随着时代的更迭而衍生出不同的含义。在古歌谣《诗经》中，先民以白色的骏马比喻品行高洁的贤人:“皎皎白驹,在彼空谷。生刍一束,其人如玉。”(《小雅·白驹》)意思是思念着一位隐居的贤士，他如空谷中的幽兰，品德高洁如白玉。故而古文中有“思贤咏白驹”(西晋曹滤《思友人诗》)的诗句，后来也常用白驹指贤人。而白色的玉也引申为德行高尚的君子。在孔子的色彩观与理念中，亦认为白色是操守坚贞的象征。
我国的冠服制度大概始于商代，在周朝时逐步形成体制,成为统治者“正名分”“辨尊卑”的政治工具。白色的服饰在朝野的地位亦随着朝代的更替而起伏不定，含义有所不同。最早时殷代崇尚白色，故殷人多穿缟白的衣服（缟是一种细白的生丝或生绢的衣织物)。在周代王室的祭天拜祖典礼中及交际宴会上，规定在祭服或礼服内要穿上衬里的中单（中单一般是以白纱制成的长衣，即内衣，后又称“衫”)，穿着礼服时，要让中单沿着礼服的领缘及前胸襟微露出白色边缘，除了可加强穿衣的立体层次美感外，又象征遵守及合乎礼制。这种穿衣法一直沿用到明代，并且流传到日本。
到了秦代，平民限穿白衣，白色变成了庶民阶层的颜色;之后又被引申为“白丁”或“白身”，是指没有知识的人或无功名的读书人。唐诗人刘禹锡就写有“谈笑有鸿儒,往来无白丁”(《陋室铭》)的诗句，自命为有地位及有学问的人。在魏晋时期，白色是商贾的服色。《三国志》中有吕蒙白衣渡江奇袭敌军的故事，吕蒙为东吴孙权手下名将，曾命令将士扮成穿白衣的商人，渡河袭击关羽的营地。唐代士子多穿麻质白袍，“一品白衫”是唐人推崇进士的雅号。到了宋代，对白色的看法则有点矛盾，宋人鄙视黑白两色，故低级的官吏只可服黑白两色。而白服又是北宋进士、举子及士大夫交际所惯穿的服饰，白色在这里意为清高与儒雅;著名理学家朱熹也喜爱穿此色服饰，苏轼更留有“门外白袍如立鹤”(《催试官考校戏作》)的诗句。南宋时行都设在杭州，南方夏天灼热，白色衣料有抗热作用，所以到了宋高宗绍兴二十六年，士大夫都流行穿白色的凉衫;成语中“白衣卿相”又指尚未发迹的读书人。而女服在17世纪明末时用色渐趋流行偏浅淡的色彩;明崇祯时期又提倡白色裙，以凸显女子衣着素雅婉约的风韵。
白色在古代服色领域中又表示一种命运不济、凶事和不祥的颜色。白色亦象征素寡,穿白服表示尽哀;若黑白色并用则代表丧服，其最早见于《尚书·顾命》，故事说周康王姬钊即位，因父王周成王驾崩才8天，新王登基虽然是喜事，但康王仍头戴白麻冕冠，身穿黑白两色相间的下裳以示哀丧。白马素车是古时送葬所用的车马及阵仗。自此,白色与黑色代表丧仪的民俗习惯就一直沿用至今。而黑白无常是指道教文化中阴间地府里专职缉拿鬼魂的最有名的“鬼差”。
此外，白衣又代表投降的军服色，古代在两军对阵中，战败—方的军士会换穿白衣请降，《南齐书·武十七王列传》记述南朝齐武帝萧赜因任荆州刺史的第四子萧子响胡作非为，遂出兵征讨，四皇子只短暂抵抗，即换着白色衣服示降。败军穿白服，就像现代军事行动中举白旗一样，表示投降之意。
走过干百年文化历史的白色也有表达浪漫与美丽的时候，相传神话中的月神名“月天”，以身穿象征月光的粉白色衣裳现身示人。传统审美观很早就认定白皙就是美的标准。白发又象征年华老去、时不我予的无奈感，如“人言头上发,总向愁中白”(宋朝辛弃疾《菩萨蛮》)。
白色的其他含义还包括:白脸是京剧中扮演奸臣或反派角色的脸谱色;而白脸书生是指年轻无实际历练的读书人，典故出自《宋书·沈庆之传》:“陛下今欲伐国，而与白面书生辈谋之，事何由济。”在传统绘画用色中，白色颜料多来自矿物质如云母、垩土、白土和白石膏，以及自然物质中的蛤粉。但在现代光学理论中，白色是一种包括所有颜色光的“颜色”，或称为明亮度最高的“白光”“全色光”或“无色之色”。</t>
  </si>
  <si>
    <t>精白</t>
  </si>
  <si>
    <t>精白：纯白，洁白，净白，粉白。</t>
  </si>
  <si>
    <t>牙白</t>
  </si>
  <si>
    <t>白色微带黄色。古时以芦木煎水薄染而成。明代的德化窑曾有牙色釉瓷器，凝脂似玉，颇有莹润感。</t>
  </si>
  <si>
    <t>瓷白</t>
  </si>
  <si>
    <r>
      <rPr>
        <sz val="11"/>
        <color theme="1"/>
        <rFont val="方正粗黑宋简体"/>
        <charset val="134"/>
      </rPr>
      <t>质感似雪，细腻莹白。代表高雅之风尚。南北朝时随工艺突破出现了白瓷。因技术进步，历代白瓷光泽多有变化。白居易曾作诗云：“白瓷瓯甚洁,红炉炭方炽。”</t>
    </r>
    <r>
      <rPr>
        <sz val="11"/>
        <color theme="0" tint="-0.499984740745262"/>
        <rFont val="方正粗黑宋简体"/>
        <charset val="134"/>
      </rPr>
      <t>我国发明的瓷器，大约在东汉晚期出现。初期的瓷因釉质含氧化铁成分，铁会使釉发色而呈现淡青色，即象征青天的颜色。而白色的瓷具按照推算，最早兴起于6世纪的北朝时期，在河南省安阳市发掘的北齐武平六年的范粹古墓，出土了一批呈乳浊釉色的白瓷，是至今发现年代最早的白瓷，也证明了当时的烧瓷工匠在制瓷过程中，对于排除氧化铁颜色的工艺已有所突破。到了唐代，烧制白瓷的窑址工场在北方大量增加，其主要原因是北方的瓷土原料中的氧化铁含量较低,而氧化铝(AI2O3)的含量较高，于是北方成了制造白瓷的主要地区。特别是河北的邢窑（窑场遗址在今河北省内丘、临城一带)，因瓷料含铁量低,土质较纯净，加上炼瓷工匠的精细工艺，烧出了质感似雪般的白瓷，遂演变成“南青北白”，即南方主要生产青瓷、北方以白瓷见称的制瓷局面。受到唐代邢窑的影响，宋代的定窑（位于今河北省曲阳县内，因曲阳在宋代属定州管辖，故窑址因此得名）开始生产具有自己风格的白瓷，并因大量烧制具有印花、刻花纹图案的白瓷器皿而闻名。定窑的白釉胎质细致、秀美、轻盈，是一种略显微黄的白色，因近似东方女性的肌肤，故被外国称为具有东方女性美的颜色。
其实白瓷的色泽与质感会随着时代的不同、鉴赏眼光的变化和工艺技术的进步而多有变化，例如明朝永乐年间的江西景德镇官窑的制瓷工匠会烧出“白如凝脂，素若积雪”的御用瓷器;明宣德时期的白釉则“汁水莹厚如堆脂，光莹如美玉”。此外，福建德化在明代时还会烧出“猪油白”“象牙白”与乳白等呈微黄暖白色调的瓷具，不同于白里透青气，属于冷白色的景德瓷器。有别于历代专属于宫廷与皇族的其他彩釉瓷皿，洁净素雅的白瓷，自宋代起开始走进寻常百姓家，成为民间常用与常见的生活日用瓷具与瓷色,使用习惯一直到现在都少有改变。</t>
    </r>
  </si>
  <si>
    <t>海参灰</t>
  </si>
  <si>
    <t>雪白</t>
  </si>
  <si>
    <r>
      <rPr>
        <sz val="11"/>
        <color theme="1"/>
        <rFont val="方正粗黑宋简体"/>
        <charset val="134"/>
      </rPr>
      <t>或称皑白，汉代刘歆《遂初赋》∶“漂积雪之皑皑兮，涉凝露之降霜。”皑皑意为洁白之貌，色纯洁而无杂色。</t>
    </r>
    <r>
      <rPr>
        <sz val="11"/>
        <color theme="0" tint="-0.499984740745262"/>
        <rFont val="方正粗黑宋简体"/>
        <charset val="134"/>
      </rPr>
      <t>雪白：如雪般洁白</t>
    </r>
  </si>
  <si>
    <t>象牙白</t>
  </si>
  <si>
    <t>粉色</t>
  </si>
  <si>
    <t>在传统颜色名词中，“粉”字最早是指美白肌肤所用的化妆品，又泛指白色。粉从米字旁，把白米研磨成细末后称为粉或粉米;《释名》说:“粉，分也。研米使分散也。”《说文解字》云“粉，傅（敷）面者也，从米分声”，意思是涂脸用的白粉是用米做的，是古代妇女最早使用的天然白色美颜材料。古人的审美观认为白即是美，其标准可从《诗经》的《卫风·硕人》中看得分明:“手如柔美，肤如凝脂……”柔黄是指茅草在初春时长出的白嫩幼芽，凝脂即白色的脂膏。因古人发现白色食用米粉有附着作用，于是流行将稻米细磨成粉末后，以白米粉扑脸以增加美白效果。周代妇女还会在白粉中混入香料，加强诱人的芳香气味。楚国诗人屈原的《楚辞·大招》中写有“粉白黛黑，施芳泽只”，反映出战国时期女性的化妆术与造型，即用白粉抹脸，黛石(一种青黑色矿石）画眉，并用含有香味的膏脂搽口唇，泽指光润。到了汉代，由于汉装衣领较宽松，前颈项暴露的面积较大，又因行走时宽大的衣袖飘动，双臂也会随时外露，于是女子在胸、臂抹上白粉以增艳;而面庞在涂上米粉后，再以朱色胭脂晕红脸颊，就完成了化妆的全部过程。当时的妇女若只是脸抹白粉的叫“泪妆”，若同时涂上胭脂的则称“红妆”。美容搽白粉并非女性专用，汉代男士也有涂白面为时尚的习惯。而今天日本歌舞伎在舞台上的表演，仍是以一张大白脸与后颈项搽白粉的扮相为主，造型可能是承传自汉代女子白妆的遗风。
妆粉的颜色和材料随着时代的演进而改变，面粉从原来的米白色增至多种色彩，例如唐代有用石膏粉与益母草制成粉红色的“玉女桃花粉”。据说益母粉能去角质层，是武则天常用的敷脸圣品。明代有以茉莉花子制成美颜的“珍珠粉”。清代时则是以滑石细研磨成白色“石粉”等。至于“粉彩”则是近代才用的颜色词，是指以红、蓝、绿、黄等颜料分别混入白色颜料后,所调和出的各种淡雅、愉悦、轻快的色调与彩度的颜色。</t>
  </si>
  <si>
    <t>玉白</t>
  </si>
  <si>
    <r>
      <rPr>
        <sz val="11"/>
        <color theme="1"/>
        <rFont val="方正粗黑宋简体"/>
        <charset val="134"/>
      </rPr>
      <t>白净油润，仿若羊脂。向来被喻作君子的人格之美，正如《诗经》所言：言念君子，温其如玉。美女容貌亦可称为玉颜，曹植《洛神赋》道：转眄流精,光润玉颜。</t>
    </r>
    <r>
      <rPr>
        <sz val="11"/>
        <color theme="1" tint="0.349986266670736"/>
        <rFont val="方正粗黑宋简体"/>
        <charset val="134"/>
      </rPr>
      <t>玉白色在传统中是指矿石中的羊脂白玉，因玉色白净油润如羊脂而得名。玉白色自古至今都是象征着富贵、祥瑞、纯洁与美德的色彩。矿物玉石主要分为硬玉与软玉两种，硬玉指盛产于缅甸的翡翠，而传统的玉石属软玉，但即使称为软玉，其硬度仍然很高。我国的玉石矿地主要分布在昆仑山一带，因而在古籍中称昆仑山脉为“群玉之山”。而上好的玉石特别是色如羊脂、滋润光润、质地油腻、呈现刚中带柔感觉的玉矿石，则多出自新疆和阗（今和田)—带。在《新疆格古要论·珍宝论》中也有“玉出西域于阗国，有五色……凡看器物白色为上，黄色碧玉亦贵”的说法。华夏先民最早使用玉材矿石(包括软玉、绿松石、水晶、玛瑙等)，大约是在距今一万年前的新石器时代早期。原始玉石最早只用于制造刀、斧、戈等兵器以及璜、环、管等饰物。到了新石器时代中晚期，掌权者开始使用珍贵的美玉雕制礼拜神</t>
    </r>
    <r>
      <rPr>
        <sz val="11"/>
        <color theme="1" tint="0.349986266670736"/>
        <rFont val="宋体"/>
        <charset val="134"/>
      </rPr>
      <t>祇</t>
    </r>
    <r>
      <rPr>
        <sz val="11"/>
        <color theme="1" tint="0.349986266670736"/>
        <rFont val="方正粗黑宋简体"/>
        <charset val="134"/>
      </rPr>
      <t>及祖先的祭祀礼器。商代时美玉又成为上层社会的用器与配饰。在春秋末期，儒家倡导礼教，认为“君子比德于玉”(《礼记·聘义》)，因为玉石光彩润泽，叩之声音清扬，是“君子”人格美的象征。特别是白色的玉器，代表纯洁无瑕，是“显洁白之士”(《汉书·匡衡传》)，于是色如羊脂般白皙光润的羊脂白玉,遂被视为君子、士人才有资格随身佩带的饰物。
传说举世闻名的夜光杯是一种用羊脂白玉制成的酒杯，相传西周的周穆王远游塞外昆仑山，与西王母在瑶池欢宴，入夜后，当把美酒倾入杯里时，对月映照，杯色呈雪白并反光发亮，周穆王爱不释手，从此这种杯子就赢得夜光杯的美誉并名扬千古。后人推测，夜光杯是用新疆和田一带的白玉之精，即白玉中的上品羊脂白玉所制成，因杯薄可透月光,斟满时可见月影,故有“夜光”之说。</t>
    </r>
  </si>
  <si>
    <t>练色/素色</t>
  </si>
  <si>
    <r>
      <rPr>
        <sz val="11"/>
        <color theme="1"/>
        <rFont val="方正粗黑宋简体"/>
        <charset val="134"/>
      </rPr>
      <t>本义是把生丝煮熟,引申为白色,常用来形容白色波动的纹路和素皎月华。如“旅枕梦残,渐月华收练”。</t>
    </r>
    <r>
      <rPr>
        <sz val="11"/>
        <color theme="0" tint="-0.499984740745262"/>
        <rFont val="方正粗黑宋简体"/>
        <charset val="134"/>
      </rPr>
      <t>汉语中“练”字从“纟”旁，本义是把生丝煮熟（沤），或把麻及编织物煮得柔软白净的意思。《急就篇注》曰:“练者，煮缣而熟之也。”缣是指一种细绢。《说文解字》也说“练，</t>
    </r>
    <r>
      <rPr>
        <sz val="11"/>
        <color theme="0" tint="-0.499984740745262"/>
        <rFont val="宋体"/>
        <charset val="134"/>
      </rPr>
      <t>湅</t>
    </r>
    <r>
      <rPr>
        <sz val="11"/>
        <color theme="0" tint="-0.499984740745262"/>
        <rFont val="方正粗黑宋简体"/>
        <charset val="134"/>
      </rPr>
      <t>缯也”。</t>
    </r>
    <r>
      <rPr>
        <sz val="11"/>
        <color theme="0" tint="-0.499984740745262"/>
        <rFont val="宋体"/>
        <charset val="134"/>
      </rPr>
      <t>湅</t>
    </r>
    <r>
      <rPr>
        <sz val="11"/>
        <color theme="0" tint="-0.499984740745262"/>
        <rFont val="方正粗黑宋简体"/>
        <charset val="134"/>
      </rPr>
      <t>通洗，缯是古代丝织物的总称。练又引申为颜色名词，指丝白色、素色。
华夏先民养蚕取丝，相传最早推广养蚕技术以供给子民衣服的，是轩辕黄帝的元妃嫘祖（西陵氏);之后种桑养蚕、抽丝织帛的手工艺兴起，渐渐遍及中原。今天从出土文物的殷墟甲骨文的记载中，发现有蚕、丝、桑、帛等字样。因此可以说，饲养家蚕，以及剥茧抽丝与纺织，起码在夏商时期已经出现了。到了西周时期，民间已广植桑树，并学会改良桑树品质的方法:“是月也，命野虞毋伐桑柘。”(《礼记·月令》）就是说在一定的季节要修剪并砍伐一部分桑枝，以利桑叶的生长。此外，朝廷又十分重视养蚕业，从天子到诸侯的居所内，都设有饲蚕室，在《礼记·祭义》中这样描述，“蚕室，近川而为之，筑宫仞有三尺，棘墙而外闭之”，王后和诸侯夫人也按规定各自设立私人的“养蚕房”。《诗经》中也有“妇无公事，休其蚕织”的记录，饲养家蚕成了天下妇女重要的生产劳动项目。
周人对于剥茧抽丝后先练后染的工序也有明确的认识。练是丝织物在染色前的准备工作，因生丝含胶质，故需要脱胶使其变得更加柔软、纯净，以易于着色。具体的操作方法是:先将含钙质的蛤壳磨成粉末或用石灰水浸泡生丝（称沤），沤后的丝白天在日光下曝晒，夜间则挂在水井中，如是这般经过七日七夜(称为“水练”)，其目的是充分分解丝胶并变成熟丝。根据《周礼·天官·染人》记载，“凡染，春暴练”，即是说春天是沤练丝帛的季节，夏秋两季则是染帛的时节。《诗经·七月》有言:“.…八月载绩。载玄载黄……”绩通渍，意思是八月把丝帛用炭灰渍染成灰黑色或用栀子等植物黄染剂浸染成黄色。在唐代诗人白居易的《红线毯》中有这样的描述:“毛线毯，择茧缉丝清水煮,拣丝练线红蓝染。染为红线红于蓝，织作披香殿上毯。”巢丝是指把蚕茧放在沸水中煮，使丝绪浮现后再抽丝。诗中说的披香殿为唐朝宫殿名称，地上铺着染成红彤彤、由蚕丝所编织的名贵地毯。
“练”字在古代亦当作颜色名词使用，例如练衣指白色的布衣，练巾是白头巾，练文比喻波动的白色海浪纹路。练又用来形容素皎的月色，如“孤馆灯青，野店鸡号。旅枕梦残，渐月华收练”(北宋苏轼《沁园春·赴密州早行，马上寄子由》)。此外，白练色也可指老年人的花白鬓发。</t>
    </r>
  </si>
  <si>
    <t>荼白</t>
  </si>
  <si>
    <t>荼白：如荼之白色</t>
  </si>
  <si>
    <t>山矾</t>
  </si>
  <si>
    <t>一种花色。“山矾纷似玉，黄集碎如金”，果然都是富贵好颠色。</t>
  </si>
  <si>
    <t>汉白玉</t>
  </si>
  <si>
    <t>鱼肚白</t>
  </si>
  <si>
    <r>
      <rPr>
        <sz val="11"/>
        <color theme="1"/>
        <rFont val="方正粗黑宋简体"/>
        <charset val="134"/>
      </rPr>
      <t>带有淡淡青紫的白色，清澈洁净，黎明之前东方天空常呈现鱼肚白色。</t>
    </r>
    <r>
      <rPr>
        <sz val="11"/>
        <color theme="0" tint="-0.499984740745262"/>
        <rFont val="方正粗黑宋简体"/>
        <charset val="134"/>
      </rPr>
      <t>鱼肚白：似鱼腹部的颜色，多指黎明时东方的天色颜色</t>
    </r>
  </si>
  <si>
    <t>铅白/胡粉</t>
  </si>
  <si>
    <r>
      <rPr>
        <sz val="11"/>
        <color theme="1"/>
        <rFont val="方正粗黑宋简体"/>
        <charset val="134"/>
      </rPr>
      <t>以铅的化合物研磨成粉，质地细腻，保存长久。用之敷面美容,可使面白如玉。传统颜料中，铅白是白色主要来源。</t>
    </r>
    <r>
      <rPr>
        <sz val="11"/>
        <color theme="1" tint="0.249977111117893"/>
        <rFont val="方正粗黑宋简体"/>
        <charset val="134"/>
      </rPr>
      <t>铅白为纯白色的粉末,炼制自金属铅,在古代有胡粉、铅粉、锭粉等不同的名称。铅白是我国古代女子以及欧洲17、18世纪的王孙贵</t>
    </r>
    <r>
      <rPr>
        <sz val="11"/>
        <color theme="1" tint="0.249977111117893"/>
        <rFont val="宋体"/>
        <charset val="134"/>
      </rPr>
      <t>冑</t>
    </r>
    <r>
      <rPr>
        <sz val="11"/>
        <color theme="1" tint="0.249977111117893"/>
        <rFont val="方正粗黑宋简体"/>
        <charset val="134"/>
      </rPr>
      <t xml:space="preserve">(不分男女）用来涂抹脸庞的美白化妆品。铅粉又是传统国画中常用的人造无机白色颜料，化学成分是碱式碳酸铅「2PbCO3·Pb ( OH)2 ]。
古代的白色美颜妆粉分为两种成分:一种是用白米粉碎成细末后敷面美容,在公元前4世纪的战国时期,就有“敷着脂粉，面白如玉，黛画眉鬓，黑而光净”的化妆记录;另一种则是在秦代出现的面脂，因呈糊状，故称“胡粉”(另一说法是这种化妆用料因传自西域，所以叫胡粉），又因胡粉含金属铅，故又称铅粉或铅华。到了汉代，胡粉的加工技术又有了新的突破，技师可以把糊状的白色面脂改制成干燥的粉末，使用更加方便。由于胡粉质地细腻、色泽润白以及便于久藏，于是逐渐取代了白米粉，成了当时女子普遍使用的脸部化妆品。胡粉在日本的平安时代传至日本，同样是东瀛妇女的美颜与御妆用品。
在传统绘画用料中,胡粉是白色颜料的总称,如白土、铅白、锡粉、蛤粉（由蛤蜊或牡蛎贝壳研磨成的白粉）等都称为胡粉。在中国美术史上胡粉的最早记载出自《汉官典职仪式选用》中，讲述了汉代宫廷壁画的绘画用法与规定:“胡粉涂壁，紫青界之，画古烈士，重行书赞。”即先以白色胡粉涂抹画壁打底色，再用紫青色画烈士轮廓线描,才上色。可见胡粉在汉代除了是时尚的化妆品外，还是绘画上必备的颜料。
铅白在古代的制作方法，是将金属铅捶成薄片放进容器中，在下方加热的同时，把醋酸蒸汽和碳酸（即二氧化碳)送进容器内，继而在铅片的表面上生成一层白色的碳酸铅粉末，就是铅白，并将其刮下来备用。
人造无机白色颜料铅白又是敦煌壁画彩绘中常用的颜色，通常是调和赤色颜料，用于绘制画中人物的粉红肤色。因铅白长期暴露在空气中会氧化变黑色，最后导致古老壁画色变，增加修复上的难度，加上铅白有毒,故近代国画师已改用蛤粉作为洁白的用色颜料。
</t>
    </r>
    <r>
      <rPr>
        <sz val="11"/>
        <color theme="0" tint="-0.499984740745262"/>
        <rFont val="方正粗黑宋简体"/>
        <charset val="134"/>
      </rPr>
      <t>铅白：铅粉的白色。铅粉，国画颜料，日久易氧化“返铅”变黑。铅粉在古时用以搽脸的化妆品。 （注：冷白）</t>
    </r>
  </si>
  <si>
    <t>酇白</t>
  </si>
  <si>
    <r>
      <rPr>
        <sz val="11"/>
        <color theme="1"/>
        <rFont val="方正粗黑宋简体"/>
        <charset val="134"/>
      </rPr>
      <t>汉高祖赐萧何为</t>
    </r>
    <r>
      <rPr>
        <sz val="11"/>
        <color theme="1"/>
        <rFont val="宋体"/>
        <charset val="134"/>
      </rPr>
      <t>酇</t>
    </r>
    <r>
      <rPr>
        <sz val="11"/>
        <color theme="1"/>
        <rFont val="方正粗黑宋简体"/>
        <charset val="134"/>
      </rPr>
      <t>侯,</t>
    </r>
    <r>
      <rPr>
        <sz val="11"/>
        <color theme="1"/>
        <rFont val="宋体"/>
        <charset val="134"/>
      </rPr>
      <t>酇</t>
    </r>
    <r>
      <rPr>
        <sz val="11"/>
        <color theme="1"/>
        <rFont val="方正粗黑宋简体"/>
        <charset val="134"/>
      </rPr>
      <t>白乃稍加沉淀之白酒,其色为翁翁,翁翁乃葱白一样的白色泛绿。酇白是沉淀之白酒,其色翁翁。《周礼·天官》日“辨五齐之名:一曰泛齐,二日醴齐,三曰盎齐,四曰缇齐,五日沈齐”。郑玄注“盎犹翁也,成而翁翁然葱白色，如今酇白矣”。《释文》云“酇白,即今之白醝酒也”。</t>
    </r>
  </si>
  <si>
    <t>霜色</t>
  </si>
  <si>
    <t>冷调的白色。白露结霜，较皑雪之白更加清冷。常为诗人偏爱，唐人刘沧有“气凌霜色剑光东，吟对雪华诗韵清”之句。霜色：白霜的颜色</t>
  </si>
  <si>
    <t>凝脂</t>
  </si>
  <si>
    <t>《诗经·卫风·硕人》日“手如柔黄,肤如
凝脂”。唯有华清池水才洗得凝脂，唯有蝶首蛾眉才配得凝脂。</t>
  </si>
  <si>
    <t>莹白</t>
  </si>
  <si>
    <t>莹白：晶莹洁白</t>
  </si>
  <si>
    <t>银白</t>
  </si>
  <si>
    <r>
      <rPr>
        <sz val="11"/>
        <color theme="1"/>
        <rFont val="方正粗黑宋简体"/>
        <charset val="134"/>
      </rPr>
      <t>为金属银的成色。《尔雅》道:白金谓之银。横跨天空的亮带星系，名为“银河”，即形容光芒灿烂如银色。</t>
    </r>
    <r>
      <rPr>
        <sz val="11"/>
        <color theme="0" tint="-0.499984740745262"/>
        <rFont val="方正粗黑宋简体"/>
        <charset val="134"/>
      </rPr>
      <t>银白：带银光的白色。</t>
    </r>
    <r>
      <rPr>
        <sz val="11"/>
        <color theme="1" tint="0.349986266670736"/>
        <rFont val="方正粗黑宋简体"/>
        <charset val="134"/>
      </rPr>
      <t>银色是指金属中银矿物的颜色，古代称银为白金，《尔雅·释器》中曰“白金谓之银”。在自然界中多与硫化物金属伴生的银，是仅次于金的贵重金属，又是白银的唯一来源，自古就代表金钱以及高贵的地位。银色则象征光辉、闪耀与时尚,其名贵色感与含义至今依旧未变。银矿分布于世界各地，银的拉丁文为Argentum，化学元素Ag，在西方自古希腊时期就开始作为高价值的对象及货币使用;金钱在法文中称作Argent，即源自拉丁文中银的称谓。银与金又是古代欧洲炼金术中同等重要的金属原料。在占星术中，金与银分别象征阳性的太阳与阴性的月亮。而在中国先民使用银金属的记录也有逾2500年的历史。据考古数据显示，含金属银元素的工艺制品古文物，可上溯至春秋时期。又因银的熔点只有960.5℃，且富延展性，所以自古即是锤炼镌镂器皿饰品如银盘、银樽（酒壶、杯)、银镝（箭头)、银龟(上面镌有龟形钮的银质官印)、银簪和银篦（梳）等的贵重金属。能折射出莹白明亮金属光泽的银色，是财富与地位的象征。白银自明代起，即是重要的流通钱币,自万历年间开始,便是对欧洲贸易中的通用货币。银锭、银两、银钱、银纸、银圆、银币等，也成了沿用至今金钱的代名词。
银色是传统的颜色名词，含汞(水银)的银红是我国最早使用的鲜红色矿物颜料。古人又有“色白如银”的色彩说法。又如“火树银花”是形容璀璨多彩的焰火或灯光;银蟾代表银白色的皎月;银沫指洁白的雪花;银霞是亮白的风雪别称。道家又称眼睛为银海。南朝梁武帝曾写有“金波扬素沫，银浪翻绿萍”(《十喻诗五首之如炎诗》)，诗中的银浪是指在阳光底下涌现出闪亮如银色的浪花。古人又称天上的繁星为银河，是形容闪烁着灿烂银色光芒的满天星斗，恰似一条横跨浩瀚宇宙的银河，美丽隽永且引人遐想。</t>
    </r>
  </si>
  <si>
    <t>缟羽</t>
  </si>
  <si>
    <t>缟色,未经练染的精细生坯织物本色。许慎讲“缟，鲜色也”，白色生丝的鲜亮色，与白鸟的羽毛颜色是一致的。</t>
  </si>
  <si>
    <t>乳白</t>
  </si>
  <si>
    <t>或名奶白色,色如乳汁，并非纯粹的白色，而是白色之中略带微黄。端砚老坑冰纹，即呈乳白色。</t>
  </si>
  <si>
    <t>浅云</t>
  </si>
  <si>
    <t>蜀笺是出名的传统色衍生品，不只有薛涛笺，还有谢公笺，据制作工艺看，浅云属浅蓝基调的银白色。古纸纸色,如云薄挂,浅蓝基调的银白色。《居家必用事类全集》云“浅云笺,用槐花汁、靛汁调匀,看颜色浅深,入银粉炙浆调匀。刷纸、槌法同前”。费著《笺纸谱》载“谢公有十色笺:深红、粉红、杏红、明黄、深青、浅青、深绿、浅绿、铜绿、浅云,即十色也”。古代有颜色的纸张,名芳远扬有薛涛笺，名贵远扬有金粟纸、瓷青纸。乾隆帝曾经夸金粟纸:“蒸栗底须夸玉色，青莲仍自隐经文。”金粟纸、瓷青纸都是因书写经文而产生的，瓷青纸所使用的染色植物是蓝草，以优质厚桑皮纸为原料,所以“色如青釉”“坚韧可宝”。瓷青纸的升级版是羊脑笺,把窖藏了一段时间的羊脑和顶烟墨涂于纸上, 砑光而成,宛如黑色绸缎。</t>
  </si>
  <si>
    <t>蚌肉白</t>
  </si>
  <si>
    <r>
      <rPr>
        <sz val="11"/>
        <color theme="1"/>
        <rFont val="宋体"/>
        <charset val="134"/>
      </rPr>
      <t>皦</t>
    </r>
    <r>
      <rPr>
        <sz val="11"/>
        <color theme="1"/>
        <rFont val="方正粗黑宋简体"/>
        <charset val="134"/>
      </rPr>
      <t>玉</t>
    </r>
  </si>
  <si>
    <r>
      <rPr>
        <sz val="11"/>
        <color theme="1"/>
        <rFont val="方正粗黑宋简体"/>
        <charset val="134"/>
      </rPr>
      <t>古玉色之一种，其色如珠玉润白。许慎《说文解字.白部》日“皦，玉石之白也”。这不是一块玉，而是明明白白一颗心,《诗经》讲“</t>
    </r>
    <r>
      <rPr>
        <sz val="11"/>
        <color theme="1"/>
        <rFont val="宋体"/>
        <charset val="134"/>
      </rPr>
      <t>榖</t>
    </r>
    <r>
      <rPr>
        <sz val="11"/>
        <color theme="1"/>
        <rFont val="方正粗黑宋简体"/>
        <charset val="134"/>
      </rPr>
      <t>则异室,死则同穴。谓予不信,有如</t>
    </r>
    <r>
      <rPr>
        <sz val="11"/>
        <color theme="1"/>
        <rFont val="宋体"/>
        <charset val="134"/>
      </rPr>
      <t>皦</t>
    </r>
    <r>
      <rPr>
        <sz val="11"/>
        <color theme="1"/>
        <rFont val="方正粗黑宋简体"/>
        <charset val="134"/>
      </rPr>
      <t>日”——活着不能在一室，死后同埋一穴,我说的话你不信,就让白晃晃的太阳做证。</t>
    </r>
  </si>
  <si>
    <t>缟</t>
  </si>
  <si>
    <t>缟：白色</t>
  </si>
  <si>
    <t>吉量</t>
  </si>
  <si>
    <t>来自《山海经》里文马吉量的毛色，骑吉量可以寿千年，这是寿比南山不老松的颜色。语出(山海经.海内北经》“有文马，缟身朱鬣，目若黄金，名日吉量，乘之寿千岁”。</t>
  </si>
  <si>
    <r>
      <rPr>
        <sz val="11"/>
        <color theme="1"/>
        <rFont val="方正粗黑宋简体"/>
        <charset val="134"/>
      </rPr>
      <t>玉</t>
    </r>
    <r>
      <rPr>
        <sz val="11"/>
        <color theme="1"/>
        <rFont val="宋体"/>
        <charset val="134"/>
      </rPr>
      <t>頩</t>
    </r>
  </si>
  <si>
    <t>玉色生香之意,美人粉颊之色。《楚辞·远游》球“玉色頩以脕颜兮,精醇粹而始壮”。玉颊光润之色，相由心生、此必是心地光明之人所露之色。</t>
  </si>
  <si>
    <t>芡食白</t>
  </si>
  <si>
    <t>淡青</t>
  </si>
  <si>
    <t>云峰白</t>
  </si>
  <si>
    <t>云峰即高耸入云的山峰。山巅云雾缭绕,与天穹相映,呈现出一种浸了几分淡蓝色的白色。</t>
  </si>
  <si>
    <t>《郭店楚墓竹简·五行》日“见贤人则玉色”。玉色,这里指脸色像玉色一样纯粹,也指皮肤莹洁之肉色,可以看出“色”字由最早表示脸色神情的“颜气之色”向表示颜色的“色彩之色”的词义演化。中国传统绘画上也称粉绿色为玉色。相由心生,最好的注脚是玉色,心如玉则面生玉色,是为贤人。</t>
  </si>
  <si>
    <t>珍珠灰</t>
  </si>
  <si>
    <t>如一些珍珠般微有淡黄的灰白色，色感中性柔和,因此可以与很多颜色相搭配，富有格调和质地。</t>
  </si>
  <si>
    <t>二目鱼</t>
  </si>
  <si>
    <t>马的毛色,指马的眼周有像鱼眼白的白毛。其色鱼目之白,其属王室之马。《尔雅·释畜》日“二目白,鱼”。注日“似鱼目也”。《诗经》里讲马的毛色，难懂之一就是“鱼”,鱼眼的自圈圈，马眼周边的白毛圈圈，这种鱼眼白就是二目鱼。上古时，这种与马关联的颜色词、与马的毛色有关的词组层出不穷。周穆王的八骏，赤骥（火红)，盗骊（浅黑)，白义（纯白)，逾轮（青紫)，山子(灰白)，渠黄（鹅黄)，骅骝（枣红、黑鬃)，绿耳（青黄)，各有其毛色，这组色彩的炫目感，大概和你看到4S店的一组汽车感觉差不多。 《诗经》里提到马的毛色，大致如下: 驈（深黑、白胯)，皇（淡黄)，骊（深黑)，黄（赤黄偏黄)，骓（苍白、杂毛), 駓(淡黄、杂毛)，骍（赤黄偏红)，骐（青黑、棋纹), 驒（青黑、鳞纹)，骆（白、黑鬃)，骝（枣红、黑鬃)，雒（黑、白鬃)，骃（浅黑杂白)，騢（赤杂白)，驔（黑、黄脊),鱼(两眼眶白圈毛)。</t>
  </si>
  <si>
    <t>骨缥</t>
  </si>
  <si>
    <t>缥来自漂洗的具象,由漂洗之色淡而生浅青色、像天色湛清者为天缥，像枯骨微黄者为骨缥。枯骨色。许慎《说文解字·系部》注“缥,帛青白色也”。刘熙《释名·释采帛》注“缥,犹漂也,漂漂浅青色也。有碧缥,有天缥,有骨缥,各以其色所象言之也”</t>
  </si>
  <si>
    <t>素采</t>
  </si>
  <si>
    <t xml:space="preserve">亦作素彩,指月光色。“波间素采涵秋净”，清秋月光照耀在水面或其他表面的反射色。 </t>
  </si>
  <si>
    <t>韶粉</t>
  </si>
  <si>
    <t>高级铅粉，古代妆色，也是中国画传统颜料色。宋应星《天工开物》载“此物古因辰韶诸郡专造，故日韶粉。令则各省直饶为之矣。其质入丹青，则白不减。查妇人颊，能使本色转青”。妆色画色，都是超越现实的努力，我们毕生都在为涂抹人生美好生活而努力。</t>
  </si>
  <si>
    <t>蓟粉红</t>
  </si>
  <si>
    <t>弗肯红</t>
  </si>
  <si>
    <t>袁文《瓮牖闲评》日“今人染弗肯红名玉色，非也，当名肉红耳”。陆游《老学庵笔记》曰“绍兴末, 缣帛中有一等似皂而淡者,谓之不肯红,亦退红类耶?”形容色值的传统色字词比现代要有趣,浅色形容词诸如窃、盗、小、退(褪)、柔(揉)、不肯（弗肯)等都很生动。</t>
  </si>
  <si>
    <t>苍白</t>
  </si>
  <si>
    <t>天球</t>
  </si>
  <si>
    <t>古玉色之一种。《尚书·周书·顾命》日“大玉、夷玉、天球、河图在东序”。郑玄注“天球,雍州所贡之玉,色如天者”玉如天色者，也是王侯所用玉制礼器之色。</t>
  </si>
  <si>
    <t>菊蕾白</t>
  </si>
  <si>
    <t>浅灰</t>
  </si>
  <si>
    <t>蜜合</t>
  </si>
  <si>
    <r>
      <rPr>
        <sz val="11"/>
        <color theme="1"/>
        <rFont val="方正粗黑宋简体"/>
        <charset val="134"/>
      </rPr>
      <t>较蜂蜜色白。《红楼梦》中薛宝钗常着蜜合色棉袄。</t>
    </r>
    <r>
      <rPr>
        <sz val="11"/>
        <color theme="0" tint="-0.499984740745262"/>
        <rFont val="方正粗黑宋简体"/>
        <charset val="134"/>
      </rPr>
      <t>蜂蜜调和之色,“词文生义”没有错。亦称密合。李斗《扬州画舫录》载“浅黄白色日密合”。炼蜜、和丸是两个动作。所谓炼蜜，在蜂蜜中加入沸水，加热熬炼:初期加热至沸腾,蜂蜜色泽没有明显变化，这是嫩蜜;中期继续加热，蜜液变成黄白色，手捻蜜液有黏性,但拉不出白丝,这是炼蜜;末期继续加热，蜜液变成红棕色、手捻蜜液有很大黏性,能拉出白丝,这是老蜜。 所谓和丸，将已炼制好的炼蜜与药粉按比例进行混合制成丸子，夏季倾向用比较老的蜜，冬季用比较嫩的蜜。蜜合的过程中，观察到炼蜜的黄白色，就开始把这种颜色称为蜜合。不仅制药，制香也有蜜合做法，明朝学者周嘉胄的《香乘》里“法和众妙香”中记录159个香方,其中有106个是以蜜合香。蜜合色在明清是流行服色。</t>
    </r>
  </si>
  <si>
    <t>香炉紫烟</t>
  </si>
  <si>
    <t>语出李白《望萨山瀑布》“日照香炉生紫烟、遥看瀑布挂前川”。此色有仙气,李白独爱紫烟意境。李白的袍子应该是这个颜色吧,这样他就会融化在庐山的气里、炉火的影里、神仙的梦里。</t>
  </si>
  <si>
    <t>穹灰</t>
  </si>
  <si>
    <t>银鱼白</t>
  </si>
  <si>
    <t>略带透明的白色。因银鱼细长透明，色白如银，杜甫诗云:“入肆银花乱，倾箱雪片虚。”</t>
  </si>
  <si>
    <t>明月珰</t>
  </si>
  <si>
    <t>古玉色之一。玉有明月光华之色，人有月移西厢之影。</t>
  </si>
  <si>
    <t>香皮</t>
  </si>
  <si>
    <t>古纸纸色，天然树皮,灰白皮色。栈香树，香皮纸，睹其字则发南国之思。《北户录》“香皮纸”条云“罗州多栈香,树身如柜柳,其花繁白，其叶似橘皮,堪捣为纸,土人号 为香皮纸,作灰白色,文如鱼子笺,今罗辨州皆用之”。</t>
  </si>
  <si>
    <t>黄润</t>
  </si>
  <si>
    <t>亦称蜀布,汉晋蜀中特产的未经漂白的细麻布,其色微黄,故名黄润。这种布以雄麻纤维织成,轻细柔软,可卷于竹简中,故又称“简中布”，名驰全国,乃是名贵的衣料。扬雄《蜀都赋》曰“筒中黄润,一端数金”。细麻布的微黄温润，不愧是当年高档的衣服料子。</t>
  </si>
  <si>
    <t>米汤娇</t>
  </si>
  <si>
    <t>平步青《霞外捃屑》云“葱白色,俗又呼鱼肚自,又日湖色,亦曰东方亮……京师呼汤米娇”。米汤娇等于鱼肚白，等于东方亮，等于湖色,湖色服装故宫收藏了不少，而浅绿浅蓝都有,可见湖色的重点是泛白的意象。米汤娇、多出现在服饰颜色上、瓷器颜色上也有这个说法。清末民初学者赵汝珍的《古玩指南》里面说:“浆白地者，白如米浆，故亦曰米汤娇，地白微呈黄也、与宋粉定之白略同、特不如粉定之透脱细润耳。”定窑的白、实在够不上谷子的浅黄色，可见米汤娇的色值区间是在米白、米白微黄、浅黄色之间。</t>
  </si>
  <si>
    <t>玛瑙灰</t>
  </si>
  <si>
    <t>藕丝秋半</t>
  </si>
  <si>
    <r>
      <rPr>
        <sz val="11"/>
        <color theme="1"/>
        <rFont val="方正粗黑宋简体"/>
        <charset val="134"/>
      </rPr>
      <t>藕丝白沾染秋色,竟然是唐代流行服饰色,又是清代牡丹的花色,妙也。藕丝色即为纯白色,似乎是定论。此处翻案起自温庭筠两首词,《归国谣》咏“舞衣无力风敛,藕丝秋色染”,又《菩萨蛮》咏“藕丝秋色浅，人胜参差剪”。藕丝染秋色,纯白已不再。藕丝秋半是灰白中透红。厉甑《瑞鹤仙·赋圣几斋中牡丹名藕丝霓裳种来自亳州》咏“映衫痕、一色惺</t>
    </r>
    <r>
      <rPr>
        <sz val="11"/>
        <color theme="1"/>
        <rFont val="宋体"/>
        <charset val="134"/>
      </rPr>
      <t>憁</t>
    </r>
    <r>
      <rPr>
        <sz val="11"/>
        <color theme="1"/>
        <rFont val="方正粗黑宋简体"/>
        <charset val="134"/>
      </rPr>
      <t>,误道藕丝秋半”。藕丝秋半，藕丝的具象、秋色的意象，两者叠加的颜色。藕是古人偏爱的颜色参照物，诸如藕色、藕合色、藕丝色。这三种颜色都以藕做参照，却分属不同的色系:藕色，属于灰色系，浅灰而微红;藕合色，又名藕荷色，属于紫色系，古人说是紫绿色，今人约定俗成是浅紫而微红;藕丝色，属于白色系，但不是纯白。藕色，藕不加工则偏白，煮食加工则呈浅灰而微红;藕荷色，由藕及荷，初生的荷花苞并不是一种颜色，而是上部花苞为浅紫而微红，连接茎的花苞下部为紫绿色，非常明显;藕丝色，藕切成丝，不加工则偏白。藕丝色白。秋色尽管看得到,但“秋色染”就是人类的想象了。</t>
    </r>
  </si>
  <si>
    <t>莲子白</t>
  </si>
  <si>
    <t>地籁</t>
  </si>
  <si>
    <t>这是大地之声的颜色，若能虚心听地策，自有天意到桃源，弃圣绝智，回归大地母亲的怀抱。语出(庄子，齐物论》“地籁则众窍是已，人籁则此竹是已，敢问天籁?”炎炎大地众窍鸣，此色有处暑自凉之意。</t>
  </si>
  <si>
    <t>花白</t>
  </si>
  <si>
    <t>花白：白色和黑色混杂的。斑白的 夹杂有灰色的白</t>
  </si>
  <si>
    <t>大理石灰</t>
  </si>
  <si>
    <t>桑蕾</t>
  </si>
  <si>
    <t>《四声宝蕊》云“桑蕾浅黄色”。麦芒绿了的季节,桑蕾也就变黄了,这个颜色仿佛青涩的高中生。</t>
  </si>
  <si>
    <t>肉红</t>
  </si>
  <si>
    <t>观察人体的具象而生意象肉红，观察人体的具象而生意象朱颜酡。袁文《瓮牖闲评》日“今人染弗肯红名玉色，非也，当名肉红耳”。陶宗仪《南村辍耕录·采绘法》云“肉红、用粉为主,入燕支合”。</t>
  </si>
  <si>
    <t>影青</t>
  </si>
  <si>
    <t>薄透可见影，微观可见青，妙不可言。始于宋代的釉色。许之衡《饮流斋说瓷》载“永乐影青一种,瓷质极薄,雕暗龙花,表里可以映见花纹,微观青色,故曰影青”。刘子芬《竹团陶说》载“近来出土之器甚多，有一种碗碟,质薄而色白,微似定，市肆人呼为影青,以其釉色微带青色也。据言出自江西,为宋所制”。</t>
  </si>
  <si>
    <t>垩白</t>
  </si>
  <si>
    <t>白垩是石灰岩的一种，常用来粉刷墙壁,也是制造石灰、瓷器的原料。白色微黄，色素沉积不透明。</t>
  </si>
  <si>
    <t>余白</t>
  </si>
  <si>
    <t>亦作鱼白。李斗《扬州画舫录》日“深黄赤色日驼葺……白绿色日余白,浅红色曰出炉银,浅黄白色日密合,深紫绿色曰藕合,红多黑少日红棕,黑多红少日黑棕,二者皆紫类,紫绿色日枯灰,浅者日朱墨”。鱼白,指的是鱼肚子在水下形成的一种很浅的青碧色。白里透青鱼肚白，隔水明灭隐隐碧,这个颜色好有画面感。</t>
  </si>
  <si>
    <t>筠雾</t>
  </si>
  <si>
    <t>竹皮色，薄若雾，故有此颜色名，或日竹间之雾色，雾白侵竹绿，仙气十足。雾中竹色,竹中雾色,轻薄缥缈,浑然一体。语出庾肩吾《团扇铭》日“裁筠比雾,裂素轻蝉”。</t>
  </si>
  <si>
    <t>晓灰</t>
  </si>
  <si>
    <t>月影白</t>
  </si>
  <si>
    <t>色似月影，白色之中染上浅浅的青灰，较月白色亮度更暗。“月影昏昏半墙白”，渲染了寂静、孤凉的气氛。</t>
  </si>
  <si>
    <t>仙米</t>
  </si>
  <si>
    <t>即高粱、蜀秫，秫是黏性谷物，古人认为它是山之精,服之辟谷不饥。白高粱米的颜色，那红高梁酿酒存了仙气，这白高粱不酿酒也存了仙气。</t>
  </si>
  <si>
    <t>霜地</t>
  </si>
  <si>
    <t>百般描述都不如李白一句“床前明月光，疑是地上霜”，这是我想你的颜色。</t>
  </si>
  <si>
    <t>缣湘</t>
  </si>
  <si>
    <t>书写用的细绢,其色浅黄。《淮南子·齐俗训》日“缣之性黄”。《说文解字·系部》日“湘,帛浅黄色也”。以丝织品为知识载体的古代，缯白缣黄，缯白而称素书，缣黄而称缣湘,浓浓的书卷气。</t>
  </si>
  <si>
    <t>溶溶月</t>
  </si>
  <si>
    <t>晏殊《寓意》咏“梨花院落溶溶月，柳絮池塘淡淡风”。月色温柔，一切尽在不言中，你融于我我融于你，花前月下你侬我侬。</t>
  </si>
  <si>
    <t>假山南</t>
  </si>
  <si>
    <t>蜀笺不光有传统色衍生品如薛涛笺、谢公笺,还有楮纸。这是原浆楮纸的颜色。蜀中楮纸笺色之一种。费著《笺纸谱》云“广都纸有四色，一日假山南，二日假荣,三曰冉村，四曰竹丝,皆以楮皮为之。其视浣花笺纸最清洁。凡公私簿书、契券、图籍、文牒,皆取给于是。广幅无粉者,谓之假山南;狭幅有粉者,谓之假荣;造于冉村曰清水;造于龙溪乡日竹纸。蜀中经史子籍皆以此纸传印，而竹丝之轻细似池纸,视上三色，价稍贵。近年又仿徽、池法作胜池,亦可用,但未甚精致耳。”</t>
  </si>
  <si>
    <t>赤璋</t>
  </si>
  <si>
    <t>礼器之玉色。《周礼·春官·大宗伯》日“以青圭礼东方,以赤璋礼南方”。赤璋是礼南方的玉色，璋的形制是圭的一半,象征着事物的生命在夏天已经过去一半,这是珍惜时光的颜色。</t>
  </si>
  <si>
    <t>灰白</t>
  </si>
  <si>
    <r>
      <rPr>
        <sz val="11"/>
        <color theme="1"/>
        <rFont val="方正粗黑宋简体"/>
        <charset val="134"/>
      </rPr>
      <t>死火余烬，暗淡无光泽，是为灰色。色感压抑而消沉,又或中庸而淡雅。常用来形容老人发色。</t>
    </r>
    <r>
      <rPr>
        <sz val="11"/>
        <color theme="1" tint="0.349986266670736"/>
        <rFont val="方正粗黑宋简体"/>
        <charset val="134"/>
      </rPr>
      <t>灰白色是黑与白颜料混色中偏白的浅灰色，古代又称为“花白”。其色感带有空虚、寂寞、未知、暗淡、情绪低落、压抑与消沉的心境。自然景色中的灰白色可指古代塞外边疆袅绕孤烟的颜色，或下雨时阴霾的天色。灰白又常用来形容年华老去、头发花白的老人;在不舒服、心头发慌时，就会以脸色灰白来形容心中的焦虑。
在海拔3000米以上的西藏地区，有一种名字很美的野生植物叫“灰白独活”，它生长于山林野地，属伞形科独活属草茎类。灰白色的昆虫中最为人熟知的是灯蛾。灯蛾有扑火焚身的天性。
灰白的蛾色在古时又可比喻为蒙胧远山的轻淡灰色调子:“即棹小舟入湖。山色如蛾，花光如颊。”(《古文观止·明文·西湖杂记》)另在建材中有一种属于灰白砂岩的花岗岩石板，因砂岩含丰富的铁等金属元素，经过长年自然氧化作用后，就会变得锈迹斑斑,在灰白色的板石中透露出天然的不规则灰黑色纹路，显得古朴典雅，是历来建筑墙面常用的坚固石质材料。</t>
    </r>
  </si>
  <si>
    <t>石英</t>
  </si>
  <si>
    <t>魏晋盛行长生不老仙药，以石钟乳、白石英、石硫黄、赤石脂、紫石英这五种石头制成“五石散”，现在看不过是无知无畏的兴奋剂。</t>
  </si>
  <si>
    <t>玉粉红</t>
  </si>
  <si>
    <t>云母/云母白</t>
  </si>
  <si>
    <r>
      <rPr>
        <sz val="11"/>
        <color theme="1"/>
        <rFont val="方正粗黑宋简体"/>
        <charset val="134"/>
      </rPr>
      <t>源自矿物白云母，用作染料，有半透明的质感，常用于描绘丝质衣裳。敦煌壁画中一些白纱衣饰，即是用云母白所绘，展示出一副轻盈朦胧的姿态。</t>
    </r>
    <r>
      <rPr>
        <sz val="11"/>
        <color theme="0" tint="-0.499984740745262"/>
        <rFont val="方正粗黑宋简体"/>
        <charset val="134"/>
      </rPr>
      <t>中国画传统颜料色。天然云母有四，白云母(银色)、绿云母(灰绿色)、金云母(黄金色)、黑云母（深灰色)。诗人最擅长捕捉云母屏风造出的咫尺他乡意境，屏前烛影，影长河，影愁山。</t>
    </r>
    <r>
      <rPr>
        <sz val="11"/>
        <color theme="1" tint="0.249977111117893"/>
        <rFont val="方正粗黑宋简体"/>
        <charset val="134"/>
      </rPr>
      <t>云母白是传统颜色名词，色彩来自分布很广的矿石白云母( Mica )。白云母是古代把原色微黄的生蚕丝染白的自然矿物染料。在传统绘画的用色上，云母作为无机白色颜料使用也有悠久的历史。因云母白材料具有半透明的特色，会呈现出如玻璃、丝或珍珠般的色泽，是彩绘轻纱衣物及饰件的常用颜料。
云母矿石是以钾元素为主要成分的硅酸盐化合物,化学式为K2(Al,Fe,Mg)3·(Si,Al)20(OH)4,多含在花岗岩石中，结构属单斜晶体，劈开呈层片状结构。云母石可分为白云母、黑云母，另有金云母和数量较少的有色云母。而用于丝织品染材及绘画的，主要是取自花岗石中的白云母。在内蒙古的丰镇、四川的丹巴和甘肃敦煌鸣沙山等地，都是白云母的主要产区。
根据对湖南省长沙市东郊马王堆古汉墓出土的染织物色彩分析研究，考古工作者发现西汉时期已开始把天然云母作为将织品染成白色的染材使用，而且染色技术已具有相当高的水平。而作为绘画用色的云母白颜料，是用呈半透明状的白云母石粉碎研制而成。又因云母粉的白色呈现效果不强，故古时画师会在云母白粉中添加红、蓝、紫、绿等干涉色，以增加画面的玻璃质感和色彩亮度（干涉色是指直观上是白色，上色后能反映出不同的有色光泽，可呈现特殊的视觉效果）。
在敦煌石窟中彩壁画的矿物用色记录中，使用白色的颜料除了铅白、白垩( Chalk，一种软性含钙质的石灰石)及石膏之外，其次就是云母粉。因在敦煌鸣沙山和莫高窟周边的崖岩砂石中常可找到云母石，故现代考古工作者推算，古时的民间画工会就地取材，以当地的白云母粉作为白色颜料。在敦煌的中唐时期第112窟的壁画上、晚唐第12窟的白色用料上，以及青海瞿县寺中的彩绘壁画的白颜色中，都含有云母的成分。其中最著名的一幅，是第112窟内的反弹琵琶的古壁画，舞姬身披半透明如丝质的白纱衣饰，就是当年画工使用云母白色画出的柔和与轻盈色感。</t>
    </r>
  </si>
  <si>
    <t>逍遥游</t>
  </si>
  <si>
    <t>“绝云气负青天”的颜色，自由自在,元气冲天。鹏鸟天际之意象。语出《庄子·逍遥游》“有鸟焉,其名为鹏，背若太山,翼若垂天之云,抟扶摇羊角而上者九万里,绝云气,负青天,然后图南,且适南冥也”。其色自在自由，元气冲天,故名逍遥游。</t>
  </si>
  <si>
    <t>冻缥</t>
  </si>
  <si>
    <t>？更绿更白？</t>
  </si>
  <si>
    <t>寂静的春夜,一杯冰冰的淡色青酒,还应该有琴箫合吟，这个颜色与魏晋的竹林七贤相配，与古龙的《小李飞刀》更配。即冰镇的淡绿色的酒。曹植《七启》曰“乃有春清缥酒,康狄所营。应化则变,感气而成”。李善注“缥,绿色而微白也”。</t>
  </si>
  <si>
    <t>如梦令</t>
  </si>
  <si>
    <t>其色出自词牌名,此调由唐庄宗李存勖所制《忆仙姿》始,苏轼更其名为《如梦令》,其意游戏旷达。日暮、沉醉、藕花、争渡，如梦如幻,红尘依稀。</t>
  </si>
  <si>
    <t>苍烟落照</t>
  </si>
  <si>
    <t>苍茫如烟，日暮乡间，大块浩渺。陆游《鹧鸪天》咏“家住苍烟落照间。丝毫尘事不相关”。苍烟照上落日色,不关尘世,可待风月。</t>
  </si>
  <si>
    <t>青白玉</t>
  </si>
  <si>
    <t>故宫博物院收藏的青白玉物件，其色象不一，但主要还是浅青色近白玉。青白玉是介于白色和淡青色、淡绿色之同的软玉颜色,清代官廷玉器大部分都是用新疆 和阗(今和田)地区的青白玉制作。玉料以白玉、青白玉、青玉、碧玉为主,某些浅色青玉与白玉相近,就称为青白玉了。青白玉的细分玉色可以是葱白、灰白、粉青等,其透闪石含量一般在98%左右。</t>
  </si>
  <si>
    <t>鹿角棕</t>
  </si>
  <si>
    <t>星灰</t>
  </si>
  <si>
    <t>草白</t>
  </si>
  <si>
    <t>枯草之浅淡绿黄。草色枯,胡马出,两千年的南北战争拉锯,天地以万物为刍狗，“草白经霜地，云黄欲雪天”。</t>
  </si>
  <si>
    <t>甘石</t>
  </si>
  <si>
    <t>出自炉甘石的矿物色，炉甘石是一种能解毒、明目、退翳、止痒、敛疮的中药。又名炉甘石,灰白色菱锌矿石、可入药，亦表示颜色。李时珍《本草纲目》载“炉甘石、阳明经药也……治目病为要药”。</t>
  </si>
  <si>
    <r>
      <rPr>
        <sz val="11"/>
        <color theme="1"/>
        <rFont val="方正粗黑宋简体"/>
        <charset val="134"/>
      </rPr>
      <t>夏</t>
    </r>
    <r>
      <rPr>
        <sz val="11"/>
        <color theme="1"/>
        <rFont val="宋体"/>
        <charset val="134"/>
      </rPr>
      <t>籥</t>
    </r>
  </si>
  <si>
    <r>
      <rPr>
        <sz val="11"/>
        <color theme="1"/>
        <rFont val="方正粗黑宋简体"/>
        <charset val="134"/>
      </rPr>
      <t>以雅乐之文舞指此色。《夏籥》，又名《大夏》，是一部歌颂夏禹治水有功的乐舞。出自雅乐《夏</t>
    </r>
    <r>
      <rPr>
        <sz val="11"/>
        <color theme="1"/>
        <rFont val="宋体"/>
        <charset val="134"/>
      </rPr>
      <t>籥</t>
    </r>
    <r>
      <rPr>
        <sz val="11"/>
        <color theme="1"/>
        <rFont val="方正粗黑宋简体"/>
        <charset val="134"/>
      </rPr>
      <t>》，雅乐舞蹈中的文舞是持</t>
    </r>
    <r>
      <rPr>
        <sz val="11"/>
        <color theme="1"/>
        <rFont val="宋体"/>
        <charset val="134"/>
      </rPr>
      <t>籥</t>
    </r>
    <r>
      <rPr>
        <sz val="11"/>
        <color theme="1"/>
        <rFont val="方正粗黑宋简体"/>
        <charset val="134"/>
      </rPr>
      <t>翟而舞,相对的武舞是持干戚而舞,以文德得天下则做文舞,以武功得天下则做武舞，这是推崇夏禹以文德收天下心的颜色。</t>
    </r>
  </si>
  <si>
    <t>月魄</t>
  </si>
  <si>
    <t>日魂月魂,养精蓄锐。语出《汉武帝内传》“致日精得阳光之珠,求月魄获黄水之华”。夜晚的花儿知道用月魄的光来美饰自己,这月魄色也是一种粉黛色吧。</t>
  </si>
  <si>
    <t>中灰</t>
  </si>
  <si>
    <t>铅灰</t>
  </si>
  <si>
    <t>较灰色更为阴沉,故多用来渲染更为沉重的气氛，如铅灰色的天空、铅云密布等。</t>
  </si>
  <si>
    <t>石蜜</t>
  </si>
  <si>
    <t>初曰西极石密,又曰冰糖。《凉州异物志》载“(石蜜）实乃甘蔗汁煎而曝之,则凝如石，而体甚轻,故谓之石蜜也”。今之黄冰糖色,诗僧寒山说“醍瑚与石蜜,至死不能尝”，醍酯、石蜜都是佛法精妙。</t>
  </si>
  <si>
    <t>蓝灰色</t>
  </si>
  <si>
    <t>蓝灰色：一种近于灰略带蓝的深灰色</t>
  </si>
  <si>
    <t>葭灰</t>
  </si>
  <si>
    <t>芦苇成灰，比芦苇管里的白皮还薄, 这个颜色把世间人情看穿了,看穿了就少些心痛，也是好事情。葭草成灰,其意取疏薄,其色取冷淡。</t>
  </si>
  <si>
    <t>芦穗灰</t>
  </si>
  <si>
    <t>淡银灰</t>
  </si>
  <si>
    <t>浅灰之中略带银光，是传统国画矿物颜料与丝织衣物等常用的色彩。</t>
  </si>
  <si>
    <t>瓷秘</t>
  </si>
  <si>
    <t>其色出自越州秘色瓷。周辉《清波杂志》云“越上秘色器,钱氏有国,日供奉之物,不得臣下用,故曰秘色”。绿云翠峰之色，御窑供奉之品，秘而不宣，难得这“相隔千年宛如初见”的美色殊胜。秘色是青瓷,清代瓷学大家蓝浦在《景德镇陶录》中转引《爱日堂抄》,总结青瓷的历史:“自古陶重青品,晋曰缥瓷，唐曰千峰翠色,柴周日雨过天青，吴越曰秘色，其后宋器虽具诸色,而汝瓷在宋烧者淡青色，官窑、哥窑以粉青为上,东窑、龙泉其色皆青,至明而秘色始绝。”</t>
  </si>
  <si>
    <t>行香子</t>
  </si>
  <si>
    <t>其色出自词牌名,此调因始自南北朝的“行香”法会而取名。来自词牌名的颜色，东坡说“隙中驹,石中火,梦中身”,想明白什么颜色也是过眼云烟。</t>
  </si>
  <si>
    <t>黄梁</t>
  </si>
  <si>
    <t>斑驳黄粱梦中色,此黄粱非彼黄粱。黄梁梦也是神仙富贵梦，有梦就好,“方其梦也、不知其梦也”。</t>
  </si>
  <si>
    <t>鸣珂</t>
  </si>
  <si>
    <t>古玉色之一种。宝马香车，鸣珂锵玉，铿锵作响的玉声装饰了这个颜色，充盈耳目者，显贵之声色也。</t>
  </si>
  <si>
    <t>珠子褐</t>
  </si>
  <si>
    <t>宋元两代褐色在民间生命力强大，褐的细分色来自具象而不是意象,这一特征明显。《碎金》云“褐:金茶褐、秋茶褐、酱茶褐、沉香福、鹰背褐、砖褐、豆青褐、葱白褐、枯竹褐、珠子褐、迎霜褐、藕丝褐、茶绿褐、葡萄褐、油粟褐、檀褐、荆褐、艾褐、银褐、驼褐”。陶宗仪《南村辍耕录·采绘法》云“珠子褐,用粉入藤黄、燕支合”。</t>
  </si>
  <si>
    <t>枯黄</t>
  </si>
  <si>
    <t>枯黄：干枯焦黄。</t>
  </si>
  <si>
    <t>冰山蓝</t>
  </si>
  <si>
    <t>月灰</t>
  </si>
  <si>
    <t>青鸾</t>
  </si>
  <si>
    <t>这也是皇家色、因为青鸾是西王母的青鸟,在皇家色里面辈分比较高,而且高到云端。青鸾出自《山海经》，为西王母取食之青鸟，居危之山。</t>
  </si>
  <si>
    <t>不皂</t>
  </si>
  <si>
    <t>皂色即黑色。陆游《老学庵笔记》载“唐有一种色谓之退红。盖退红若今之粉红,而髹器亦有作此色者,今无之矣。绍兴末, 缣帛中有一等似皂而淡者,谓之不肯红,亦退红类耶?”不肯皂、不肯红,都是小儿女姿态,颜色仿佛有了态度。</t>
  </si>
  <si>
    <t>紫花布</t>
  </si>
  <si>
    <t>不可望文生义，这不是紫色而是淡赭色，中国传统色对日、韩的影响比较大,影响欧洲的案例此为一宗。或望文生义以之为紫色,其实是以开紫花的彩棉织成的布的天然浅棕色。李绍闻《云间杂志》云“紫木棉,色赭而淡,名紫花布”。17至19世纪,紫花布自苏州、松江等地区出口欧洲,又被称作松江布、南京布。严中平《中国棉纺织史稿》云“真正的所请南京土布,或东印度公司指定订购的所谓棕色土布，不知究竟出产在哪个地区,大约即江南苏松一带所织的一种紫花布。这种土布在英国曾风行一时,如今人们还可以在伦敦博物馆里看到十九世纪三十年代英国绅士的时髦服装,正是中国的杭绸衬衫和紫花布的裤子”。</t>
  </si>
  <si>
    <t>百灵鸟灰</t>
  </si>
  <si>
    <t>银鼠灰</t>
  </si>
  <si>
    <r>
      <rPr>
        <sz val="11"/>
        <color theme="1"/>
        <rFont val="方正粗黑宋简体"/>
        <charset val="134"/>
      </rPr>
      <t>因动物银鼠的毛色而得名，银鼠裘衣素为显贵所服,故可视为身份的象征。《红楼梦》中,林黛玉便曾着“银鼠坎肩”。</t>
    </r>
    <r>
      <rPr>
        <sz val="11"/>
        <color theme="1" tint="0.499984740745262"/>
        <rFont val="方正粗黑宋简体"/>
        <charset val="134"/>
      </rPr>
      <t>银鼠灰为固有色名，是比照一种贵重动物银鼠的银灰毛色而得名，也是历代权贵豪门炫耀身份与地位的颜色。我国的毛皮走兽有近百种，南方气候比较温暖，著名的有云豹、金丝猴、大熊猫等;北方天气严寒，动物的毛皮多用以御寒保暖，除了黄融、虎、狐与野兔外，皮裘中如貂皮与银鼠毛革，则是古代皇室的御用毛料，是权位的象征。根据辽代关外契丹贵族的服饰打扮习俗，上层人物头戴冠、巾，贵族妇女戴瓜皮帽，衣料夏天用绢、绸，冬季用皮毛，“贵者披貂裘，以紫黑色为贵，青次之。又有银鼠,尤洁白;贱者披貂毛,羊、鼠、沙狐裘”。银鼠皮革又是富有人家必备的防寒衣物，在清代作家吴敬梓的《儒林外史》第五十三回中有这样的描述:“……只见又是一个丫头，打了灯笼，一班四五个少年姊妹，都戴着貂鼠暖耳，穿着银鼠、灰鼠衣服进来，嘻嘻笑笑，两边椅子坐下….…”在《红楼梦》中，作者曹雪芹对各式人等的衣饰穿着多有着墨，例如在第三回写到林黛玉投靠贾府，初遇王熙凤时的景况，曹雪芹巨细靡遗地描述“凤辣子”披银鼠衣饰、彩绣炫目的亮相装扮，就是与众姑娘不同:“恍若神妃仙子:头上戴着金丝八宝攒珠髻，绾着朝阳五凤挂珠钗，项上戴着赤金盘螭躞珞圈,裙边系着豆绿宫绦，双衡比目玫瑰佩，身上穿着缕金百蝶穿花大红洋缎窄根袄，外罩五彩刻丝石青银鼠褂，下着翡翠撒花洋络裙，一双丹凤三角眼，两弯柳叶吊梢眉，身量苗条，体格风骚，粉面含春威不露,丹唇未启笑先闻。”王熙凤的出场，就有一股令众人屏息静气、恭肃以待的架势。</t>
    </r>
  </si>
  <si>
    <t>隐红灰</t>
  </si>
  <si>
    <t>青玉案</t>
  </si>
  <si>
    <t>其色出自词牌名,此调名源自张衡《四愁诗》“美人赠我锦绣段,何以报之青玉案”。陈彼得先生不妨穿一袭此色长袍，上元夜再来一曲青云案，岂不快哉。</t>
  </si>
  <si>
    <t>蛛网灰</t>
  </si>
  <si>
    <t>大块</t>
  </si>
  <si>
    <t>苍茫大地不仅是我们身体的母亲，也是我们精神的母亲。语出《庄子·大宗师》“夫大块载我以形，劳我以生，佚我以老，息我以死”，又《庄子，齐物论》“夫大块噫气，其名为风"。李白《春夜宴从弟桃花园序》咏“况阳春召我以烟景，大块假我以文章”。噫乎大地，壮载文章，假我以此色。</t>
  </si>
  <si>
    <t>太一余粮</t>
  </si>
  <si>
    <t>谢肇浙《五杂组》云“泰山有太乙余粮,视之石也,石上有甲,甲中有白,白中有黄。相传太乙者,禹之师也,尝服此而弃其余,故名”。李时珍《本草纲目》云 “太一余粮及禹余粮,乃一物而以精粗为名尔。其壳若瓷,方圆不定。初在壳中未凝结犹是黄水,名石中黄子”。上古神兵的终极口粮才敢这么叫吧,多么合乎游戏玩家心意。</t>
  </si>
  <si>
    <t>绍衣</t>
  </si>
  <si>
    <t>绍衣思玄，德言继传。语出《尚书.康诰》“今民将在祗遹乃文考，绍闻衣德言”。此乃承德、传灯之色，承祖宗之德，传古佛之灯，在家旧衣冠，出家僧尼服。</t>
  </si>
  <si>
    <t>灰色</t>
  </si>
  <si>
    <r>
      <rPr>
        <sz val="11"/>
        <color theme="1"/>
        <rFont val="方正粗黑宋简体"/>
        <charset val="134"/>
      </rPr>
      <t>汉语灰字原指物质燃烧后残余的粉状物，许慎《说文解字》中云:“灰，死火余烬也，从火，从又。又，手也。火既灭，可以执持。”《字汇》也说“火过为灰”。
“灰”也是传统颜色名词，形容东西烧毁殆尽后留下灰烬的暗淡无光的色泽。灰色予人阴暗暧昧、低沉与混浊不清的感觉。长久以来，古人对色彩所赋予的含义中，灰色多用来代表消极、负面，以及情绪低落及消沉的心理状态，如灰念(懊丧)、灰气(丧气)、灰心(颓丧)。“万念俱灰”和“心灰意冷”等都是描述心情低落到极点，失去希望，难以振作的心境。而“满面尘灰烟火色”(唐朝白居易《卖炭翁》)是形容烟炭的肮脏颜色。“灰飞烟灭”(北宋苏轼《念奴娇·赤壁怀古》)是借喻事过境迁、徒留追忆的处境。灰头土脸是形容因处事不当或不识时务而弄得很狼狈或自讨没趣。
在现代的光学色谱中，并不存在灰色的光彩;在绘画颜料用色中，灰色介于黑色与白色之间，是黑与白两色颜料的混合色，可根据不同比例调和出深浅不一的灰调。在古代的衣色漂染工艺中，灰色的丝织品是用方铅矿石（即硫化铅，PbS）做媒染剂染成。西周时期，丝帛的漂染工序是先以灰末浸除丝线的胶质。“</t>
    </r>
    <r>
      <rPr>
        <sz val="11"/>
        <color theme="1"/>
        <rFont val="宋体"/>
        <charset val="134"/>
      </rPr>
      <t>涚</t>
    </r>
    <r>
      <rPr>
        <sz val="11"/>
        <color theme="1"/>
        <rFont val="方正粗黑宋简体"/>
        <charset val="134"/>
      </rPr>
      <t>水沤其丝”，</t>
    </r>
    <r>
      <rPr>
        <sz val="11"/>
        <color theme="1"/>
        <rFont val="宋体"/>
        <charset val="134"/>
      </rPr>
      <t>涚</t>
    </r>
    <r>
      <rPr>
        <sz val="11"/>
        <color theme="1"/>
        <rFont val="方正粗黑宋简体"/>
        <charset val="134"/>
      </rPr>
      <t>水即—种灰汁液，能使蚕丝变得柔软;程序是“以栏为灰，渥淳其帛……淫之以蜃”，即是用栏木灰与大蛤（蜃)壳灰作为柔软剂及漂白剂使用。灰色的丝织物又可以用已染黑的丝为经，白色的丝为纬交错编织而成。灰色的衫袍是清代男士流行穿着的服色，是温文儒雅与廉洁的表征。灰色又是现代佛教僧侣的常用服色之一，也称“不正色”或“坏色”之—。
灰色也反映在传统建筑的砖墙上，徽州历来以纯灰色的细致砖雕闻名。而在纯天然的灰色地貌景观中，最有名的是形成于距今200余万年前、位于云南昆明市近郊的石灰岩质石林奇景:一从丛浑然天成的巨大暗灰色石峰、石柱昂首苍穹，穿过天际，仿如一片久经风霜的阴郁森林，也因此有“石林”的称谓。</t>
    </r>
    <r>
      <rPr>
        <sz val="11"/>
        <color theme="0" tint="-0.499984740745262"/>
        <rFont val="方正粗黑宋简体"/>
        <charset val="134"/>
      </rPr>
      <t>灰色：黑色和白色混和成的一种颜色</t>
    </r>
  </si>
  <si>
    <t>镍灰</t>
  </si>
  <si>
    <t>丁香褐</t>
  </si>
  <si>
    <t>北宋崇道,宋徽宗自称“教主道君皇帝”，老子讲“圣人被褐而怀玉”，故宫藏《听琴图》中褐色道袍抚琴者即为徽宗。因袭宋元,明初亦流行褐色,褐色纷纭诸如砖褐、荆褐、艾褐、鹰背褐、银褐、珠子褐、藕丝褐、露褐、茶褐、麝香褐、檀褐、山谷褐、枯竹褐、湖水褐、葱白褐、棠梨褐、秋茶褐、鼠毛褐、葡萄福、丁香褐。陶宗仪《南村辍耕录·采绘法》云“丁香褐,用肉红为主,入少槐花合”。</t>
  </si>
  <si>
    <t>琬琰</t>
  </si>
  <si>
    <t>古玉色之一种。这是帝侯所用玉质礼器之色，既珍且贵，又是一个皇家颜色。</t>
  </si>
  <si>
    <t>沙饧</t>
  </si>
  <si>
    <t>今之黄砂糖色，日本的三温糖色也近乎此。麦芽糖古称饴或饧,一说沙饧即麦芽糖,另一说沙饧应是黄砂糖。</t>
  </si>
  <si>
    <t>佩玖</t>
  </si>
  <si>
    <t>古玉色之一种。《诗经·王风·丘中有麻》咏“彼留之子,贻我佩玖”。许慎《说文解字·玉部》曰“玖,石之次玉黑色者。从玉，欠声”。</t>
  </si>
  <si>
    <t>淡玫瑰灰</t>
  </si>
  <si>
    <t>黄螺</t>
  </si>
  <si>
    <t>即莲实,此处是莲子色。莲子的颜色，想起“低头弄莲子，莲子清如水”的小儿女情怀。</t>
  </si>
  <si>
    <t>尘灰</t>
  </si>
  <si>
    <t>茧色</t>
  </si>
  <si>
    <t>?</t>
  </si>
  <si>
    <t>出于茧之黄，实际上的色值更深一些。茧色考据不易,“兔颖分明茧色新”甚是有力,以兔毫笔的毛色可以推知茧色。孙珮《苏州织造局志》载“茧色，经每两生染银二分,八五就算”。</t>
  </si>
  <si>
    <t>养生主</t>
  </si>
  <si>
    <t>填平心里丘与壑，听水听松逍遥游，若能再多些求田问舍的好处，哪里有不长寿的道理。语出《庄子.养生主》“缘督以为经，可以保身，可以全生，可以养亲，可以尽年”。心中无丘壑，梦里多田翁，此色养生。</t>
  </si>
  <si>
    <t>玄校</t>
  </si>
  <si>
    <t>黄绿微暗之复色。《大戴礼记·夏小正》日“八月,剥瓜,畜瓜之时也。玄校。玄也者,黑也;校也者,若绿色然,妇人未嫁者衣之”。王聘珍注“校读曰绞。郑注《杂记》云:‘采青黄之间日绞。’”。玄是太阳出地平线前一刻的天色，呈黑赤，玄形容色暗，校是青与黄的间色，呈绿色,玄校是暗绿色。</t>
  </si>
  <si>
    <t>栾华</t>
  </si>
  <si>
    <t>栾木之华，与槐花一样的花型，也与槐花一样可以染黄。栾木之华,其花可染黄。《山海经·大荒南经》载“有云雨之山，有木名日栾。禹攻云雨，有赤石焉生栾,黄本、赤枝、青叶,群帝焉取药”。苏颂《本草图经》载“(栾华)叶似木懂而薄细,花黄似髦而稍长大”。</t>
  </si>
  <si>
    <t>银褐</t>
  </si>
  <si>
    <t>宋代皇家仪仗用过这个高雅的褐色。欧阳修《太常因革礼》日“是年改第一部以黄,第二部以银褐,第三部、第六部以皂,第四部以青,第五部以绯”。</t>
  </si>
  <si>
    <t>出岫</t>
  </si>
  <si>
    <t>青色的云从青色的山峰飘浮而出，悠然不羁，心定气和。语出陶渊明《归去来兮辞》“云无心以出岫，鸟倦飞而知还”。</t>
  </si>
  <si>
    <t>鹿皮褐</t>
  </si>
  <si>
    <t>春碧</t>
  </si>
  <si>
    <t>古酒名,取自春物色相,寂寂空庭意境。依然是寂寂空庭,依然是漫卷诗书,问一声“谁与细倾春碧”，陆游隔空回一句“东楼谁记”,这是何等孤高的颜色。</t>
  </si>
  <si>
    <t>苍青</t>
  </si>
  <si>
    <t>黄埃</t>
  </si>
  <si>
    <t>黄泉的雾气,黄埃上升的阴气阳气激荡为雷电，孕育力量,暗藏能量。语出刘向《淮南子·地彤训》“黄泉之埃上为黄云,阴阳相薄为雷,激扬为电”。黄泉
的雾气,即为黄埃,此气上升为黄云,阴气阳气一接触就成为雷,一碰撞就成为电。黄埃其色、可谓雷电之源色。</t>
  </si>
  <si>
    <t>王刍</t>
  </si>
  <si>
    <t>即荩草,浸揉其茎叶得汁液以染黄,故日蒐染红, 荩染黄。《诗经·卫风·淇奥》日“瞻彼淇奥,绿竹猗猗”。毛传“绿,王刍也”。李时珍《本草纲目》日“此草绿色,可染黄……古者贡草入染人,故谓之王刍”。屈原不愿与蒺藜、王刍和苔耳为伍,厌北泛滥,相反,我们却要赞美它们生命力的旺盛。</t>
  </si>
  <si>
    <t>藕丝褐</t>
  </si>
  <si>
    <t>从“藕丝秋半”而“藕丝褐”，藕丝由灰而褐，渐染趋深。《碎金》云“褐:金茶褐、秋茶褐、酱茶褐、沉香福、鹰背褐、砖褐、豆青褐、葱白褐、枯竹褐、珠子褐、迎霜褐、藕丝褐、茶绿褐、葡萄褐、油粟褐、檀褐、荆褐、艾褐、银褐、驼褐”。陶宗仪《南村辍耕录·采绘法》云“藕丝褐,用粉入螺青、燕支合”。宋应星《天工开物》云“藕褐色,苏木水薄染,入莲子壳,青矾水薄盖”。</t>
  </si>
  <si>
    <r>
      <rPr>
        <sz val="11"/>
        <color theme="1"/>
        <rFont val="方正粗黑宋简体"/>
        <charset val="134"/>
      </rPr>
      <t>红</t>
    </r>
    <r>
      <rPr>
        <sz val="11"/>
        <color theme="1"/>
        <rFont val="Microsoft YaHei UI"/>
        <charset val="134"/>
      </rPr>
      <t>䵂</t>
    </r>
  </si>
  <si>
    <r>
      <rPr>
        <sz val="11"/>
        <color theme="1"/>
        <rFont val="宋体"/>
        <charset val="134"/>
      </rPr>
      <t>䵂</t>
    </r>
    <r>
      <rPr>
        <sz val="11"/>
        <color theme="1"/>
        <rFont val="方正粗黑宋简体"/>
        <charset val="134"/>
      </rPr>
      <t>是混合着麦麸和麦粉的碾磨碎屑,在红曲霉素的作用下，成为糟肉和酿酒的恩物红曲。古代红曲之色。红䵂即红曲</t>
    </r>
    <r>
      <rPr>
        <sz val="11"/>
        <color theme="1"/>
        <rFont val="Calibri"/>
        <charset val="134"/>
      </rPr>
      <t>,</t>
    </r>
    <r>
      <rPr>
        <sz val="11"/>
        <color theme="1"/>
        <rFont val="方正粗黑宋简体"/>
        <charset val="134"/>
      </rPr>
      <t>小麦磨成䵂而制曲。许慎《说文解字</t>
    </r>
    <r>
      <rPr>
        <sz val="11"/>
        <color theme="1"/>
        <rFont val="Calibri"/>
        <charset val="134"/>
      </rPr>
      <t>·</t>
    </r>
    <r>
      <rPr>
        <sz val="11"/>
        <color theme="1"/>
        <rFont val="方正粗黑宋简体"/>
        <charset val="134"/>
      </rPr>
      <t>麥部》日“</t>
    </r>
    <r>
      <rPr>
        <sz val="11"/>
        <color theme="1"/>
        <rFont val="Microsoft YaHei UI"/>
        <charset val="134"/>
      </rPr>
      <t>䵂</t>
    </r>
    <r>
      <rPr>
        <sz val="11"/>
        <color theme="1"/>
        <rFont val="Calibri"/>
        <charset val="134"/>
      </rPr>
      <t>,</t>
    </r>
    <r>
      <rPr>
        <sz val="11"/>
        <color theme="1"/>
        <rFont val="方正粗黑宋简体"/>
        <charset val="134"/>
      </rPr>
      <t>麦核屑也”。红曲的早期用途并不是酿酒</t>
    </r>
    <r>
      <rPr>
        <sz val="11"/>
        <color theme="1"/>
        <rFont val="Calibri"/>
        <charset val="134"/>
      </rPr>
      <t>,</t>
    </r>
    <r>
      <rPr>
        <sz val="11"/>
        <color theme="1"/>
        <rFont val="方正粗黑宋简体"/>
        <charset val="134"/>
      </rPr>
      <t>而是发醇成腊糟</t>
    </r>
    <r>
      <rPr>
        <sz val="11"/>
        <color theme="1"/>
        <rFont val="Calibri"/>
        <charset val="134"/>
      </rPr>
      <t>,</t>
    </r>
    <r>
      <rPr>
        <sz val="11"/>
        <color theme="1"/>
        <rFont val="方正粗黑宋简体"/>
        <charset val="134"/>
      </rPr>
      <t>用于河西走廊经瓜州进贡的食品的增香、去腥、防腐等。</t>
    </r>
  </si>
  <si>
    <t>紫烟、红雾，是为烟红。碧烟红雾,紫烟红雾，均得此色之意。</t>
  </si>
  <si>
    <t>明灰</t>
  </si>
  <si>
    <t>秋蓝</t>
  </si>
  <si>
    <t>蓼蓝秋枯,秋蓝染不好罗衣,老瓜涂不得绿漆,颜郎爱不成少年,秋蓝寂寂则美,颜郎春心何苦。语出李贺《河阳歌》“染罗衣,秋蓝难着色。不是无心人,为作台邛客。花烧中潬城，颜郎身已老。惜许两少年，抽心似春草。”。秋蓝,即秋天的蓼蓝。枯老的秋蓝,即使染罗衣也难着色。同样、枯老的颜郎,即使春心萌动也是徒然。其色仿古做旧,其意秋日春心。</t>
  </si>
  <si>
    <t>紫磨金</t>
  </si>
  <si>
    <t>名紫磨者，考其实物，非真紫也。孔融《圣人优劣论》日“金之优者，名日紫磨，犹人之有圣也”。近代学者丁福保解释：“紫者紫色也，磨者无垢浊也。”宋代文人乐史写《杨太真外传》，描述唐玄宗对杨责妃的深情:“上又自执丽水镇库紫磨金琢成步摇,至妆阁,亲与插鬓。”玄宗用品色最好的紫磨金打造成步摇,去贵妃的闺房,亲自给她戴好。步摇是发簪、发钗的进化，花式繁复如龙凤状,用料昂贵有珠玉镶,行路时见它一步一摇,因而得名。想当年唐玄宗在杨贵妃的鬓角上亲手插上紫磨金的步摇，其情其景动人心魄。</t>
  </si>
  <si>
    <t>昏黄</t>
  </si>
  <si>
    <t>昏黄：形容天色、灯光等呈幽暗的黄色。</t>
  </si>
  <si>
    <t>迷楼灰</t>
  </si>
  <si>
    <t>隋炀帝扬州迷楼化作灰烬的颜色意象,魏武帝的铜雀台、隋炀帝的迷楼，都是痴梦。迷楼成灰，烟花成谜,其色如炀帝霸业扬州梦。冯贽《南部烟花记·迷楼》载“迷楼凡役夫数万,经岁而成。楼阁高下,轩窗掩映,幽房曲室、玉栏朱楯,互相连属。帝大喜，顾左右曰:‘使真仙游其中,亦当自迷也。’故云”。《迷楼记》载“唐帝提兵号令入京,见迷楼,太宗曰:‘此皆民膏血所为。’乃命焚之”。</t>
  </si>
  <si>
    <t>秋香</t>
  </si>
  <si>
    <t>217,182,17</t>
  </si>
  <si>
    <r>
      <rPr>
        <sz val="11"/>
        <color theme="1"/>
        <rFont val="方正粗黑宋简体"/>
        <charset val="134"/>
      </rPr>
      <t>浅黄绿色，也称“香色”。因色高贵、温和、稳重，被视为富贵和地位的象征，盛行于清代。清初皇太子朝衣服饰，“皆用香色”。</t>
    </r>
    <r>
      <rPr>
        <sz val="11"/>
        <color theme="0" tint="-0.499984740745262"/>
        <rFont val="方正粗黑宋简体"/>
        <charset val="134"/>
      </rPr>
      <t>色出秋意,其色郁黄。一树桂花,一树秋香。秋香，香色的秋天版。先说香色,香色是往黄色里添加绿色，从而增加了黄色的雅致感，可能是从缃色演化而来的，缃是桑叶初生的浅黄色，香与缃同音,借用之，以俗字代生字。再说秋香色，秋意浓,色深沉,秋香是浓郁一些的黄绿色。 香色曾是清代初期皇太子的服色，清代宗室昭</t>
    </r>
    <r>
      <rPr>
        <sz val="11"/>
        <color theme="0" tint="-0.499984740745262"/>
        <rFont val="宋体"/>
        <charset val="134"/>
      </rPr>
      <t>梿</t>
    </r>
    <r>
      <rPr>
        <sz val="11"/>
        <color theme="0" tint="-0.499984740745262"/>
        <rFont val="方正粗黑宋简体"/>
        <charset val="134"/>
      </rPr>
      <t>的《啸亭续录》说:“国初定制，皇太子朝衣服饰皆用香色，例禁庶人服用，其后储位久虚,渐忘其制。近日庶民习用香色,至于车帏巾</t>
    </r>
    <r>
      <rPr>
        <sz val="11"/>
        <color theme="0" tint="-0.499984740745262"/>
        <rFont val="宋体"/>
        <charset val="134"/>
      </rPr>
      <t>帨</t>
    </r>
    <r>
      <rPr>
        <sz val="11"/>
        <color theme="0" tint="-0.499984740745262"/>
        <rFont val="方正粗黑宋简体"/>
        <charset val="134"/>
      </rPr>
      <t>无不滥用，有司初无禁遏者,亦未习典故故也。”</t>
    </r>
    <r>
      <rPr>
        <sz val="11"/>
        <color theme="0" tint="-0.349986266670736"/>
        <rFont val="方正粗黑宋简体"/>
        <charset val="134"/>
      </rPr>
      <t>秋香色：浅橄榄色浅黄绿色。 （注：直接在Y中掺入k10~30可
得到不同浓淡的该类色彩）</t>
    </r>
  </si>
  <si>
    <t>绛纱</t>
  </si>
  <si>
    <t>东汉南郡太守马融授徒,绛纱设帐,其弟子
郑玄、卢植辈。想不到古时授徒讲学,场景如此香艳,如果在绛红色的纱帐前更容易激发智慧,何不遵古而行。</t>
  </si>
  <si>
    <t>蕉月</t>
  </si>
  <si>
    <t>风生竹院。月上蕉窗,其色出自中国画传统的蕉月图,黄绿清雅。中国画有“焦月图”之类,凡绘色蕉月，在蕉不在月，江南庭院意境,“窗前谁种芭蕉树，阴满中庭”。</t>
  </si>
  <si>
    <t>绾</t>
  </si>
  <si>
    <t>绾：绛色；浅绛色。</t>
  </si>
  <si>
    <t>海鸥灰</t>
  </si>
  <si>
    <t>红藤杖</t>
  </si>
  <si>
    <t>红藤为杖，其色灰褐杂淡紫。其颜色考据自我国分布广泛的大血藤枝条色，直到现在它依然是制作藤器的原料。</t>
  </si>
  <si>
    <t>执大象</t>
  </si>
  <si>
    <t>中国人的终极真理曰道,道可道，非常道,一旦洞悉天地的运行法则，就会进入不惑不怨、不忧不惧的境地。《道德经》曰“执大象,天下往;往而不害,安平太”。每读至此,总想象一种安泰、和平、宁静的境界，掌握终极真理却言语寡淡,此色甚得此意。</t>
  </si>
  <si>
    <t>墨灰</t>
  </si>
  <si>
    <t>墨灰：即黑灰</t>
  </si>
  <si>
    <t>石莲褐</t>
  </si>
  <si>
    <t>赞宁《僧史略》云“今江表多服黑色、赤色衣，时有青黄问色，号为黄褐、石莲褐也。石莲谐音实怜，“欢娱生于求偶之念，而其人实为可怜中人也”，此乃人生悲悯之色。</t>
  </si>
  <si>
    <t>黄琮</t>
  </si>
  <si>
    <t>颜色的概念来自事物的具象和意象,黄琮模拟了大地的形态和颜色,所以是礼地的皇家玉器。礼器之玉色。《周礼·春官·大宗伯》曰“以苍璧礼天，以黄琮礼地”。郑玄注“琮八方像地”。褚亮《祭神州乐章·雍和》曰“黝牲在列。黄琮俯映”</t>
  </si>
  <si>
    <t>露褐</t>
  </si>
  <si>
    <t>老子《道德经》目“圣人被褐而怀玉”。或因道学之流行，在宋元之际，褐色曾为官廷和市井崇尚的颜色。陶宗仪《南村辍耕录·采绘法》云“露褐，用粉入少土黄、檀子合”。《碎金》和《南村辍耕录》遍录褐色之细目，叹为观止。</t>
  </si>
  <si>
    <t>巨吕</t>
  </si>
  <si>
    <t>冰糖炼制过程中含杂垢的糖色,更深更杂的糖色叫颇尼多。甘蔗汁煎炼过程中质杂色重。语出《正法念处经》“如甘蔗汁,器中火煎,彼初离垢,名颇尼多。次第二煎,则渐微重,名曰巨吕。更第三煎,其色则白，名曰石蜜”。</t>
  </si>
  <si>
    <t>蒸栗</t>
  </si>
  <si>
    <r>
      <rPr>
        <sz val="11"/>
        <color theme="1"/>
        <rFont val="方正粗黑宋简体"/>
        <charset val="134"/>
      </rPr>
      <t>色如蒸熟之栗，最早见于西汉中游的《急就篇》,在玉色里称之为</t>
    </r>
    <r>
      <rPr>
        <sz val="11"/>
        <color theme="1"/>
        <rFont val="宋体"/>
        <charset val="134"/>
      </rPr>
      <t>玵</t>
    </r>
    <r>
      <rPr>
        <sz val="11"/>
        <color theme="1"/>
        <rFont val="方正粗黑宋简体"/>
        <charset val="134"/>
      </rPr>
      <t>。史游《急就篇》曰“蒸栗绢绀缙红</t>
    </r>
    <r>
      <rPr>
        <sz val="11"/>
        <color theme="1"/>
        <rFont val="宋体"/>
        <charset val="134"/>
      </rPr>
      <t>繎</t>
    </r>
    <r>
      <rPr>
        <sz val="11"/>
        <color theme="1"/>
        <rFont val="方正粗黑宋简体"/>
        <charset val="134"/>
      </rPr>
      <t>，青绮绫</t>
    </r>
    <r>
      <rPr>
        <sz val="11"/>
        <color theme="1"/>
        <rFont val="宋体"/>
        <charset val="134"/>
      </rPr>
      <t>縠</t>
    </r>
    <r>
      <rPr>
        <sz val="11"/>
        <color theme="1"/>
        <rFont val="方正粗黑宋简体"/>
        <charset val="134"/>
      </rPr>
      <t>靡润鲜”。颜师古注“蒸栗,黄色,若蒸孰之栗也”。刘熙《释名·释采帛》曰“蒸栗,染绀使黄,色如蒸栗然也”。东汉文人王逸《玉论》总结玉的颜色:“赤如鸡冠，黄如蒸栗，白如猪肪,黑如纯漆，玉之符也。”黄玉如同蒸栗色。 明代戏曲家高濂写《遵生八笺》，论古玉器:“玉以甘黄为上，羊脂次之。以黄为中色,且不易得,以白为偏色,时亦有之故耳。今人贱黄而贵白，以见少也。然甘黄如蒸栗色佳，焦黄为下。”甘黄就是蒸栗色，这是古玉之上品。清代文人陈性写《玉纪》:“有受黄土沁者,其色黄,色如蒸栗，名日玵黄。若受松香沁者，色更深，复原时酷似黄蜡，谓之老玵黄。”陈性是晚清奇人，断古玉如神，他说古玉受黄土的沁色，蒸栗色，叫玵黄;古玉受松香的沁色，黄蜡色，叫老玵黄。《遵生八笺》中的甘黄色,源头是玵黄色,进就是蒸栗色的玉。 按照最新颁布的国家标准《和田玉鉴定与分类》(GB/T38821-2020)，玉色分为白玉、青玉、青白玉、碧玉、黄玉、糖玉、墨玉、翠青玉八大类,蒸栗当归于黄玉色。</t>
    </r>
  </si>
  <si>
    <t>明茶褐</t>
  </si>
  <si>
    <t>宋元之际褐色大流行,明初亦是如此,褐色保持着分类最细致最繁杂的色目。《居家必用事类全集》云“染明茶褐，以帛十两为率。黄芦五两半研碎,白矾二两研末。黄芦依煎苏木法,作三次煎熬。亦将物帛先矾了、然后下颜色汁内染之。临了时颜色煨热,下绿矾在汁内搅匀。下物帛，常要提转不歇,恐颜色不均。其绿矶用看颜色浅深,遂旋加入”。</t>
  </si>
  <si>
    <t>大赤</t>
  </si>
  <si>
    <t>故宫太和殿之龙用到库金和大赤两种金箔色。亦称冷金,出自中国绘画雕塑建筑传统所用的金箔色。常用的金箔色有四种:库金（足金)，成色好的纯金色,微发红;大赤（冷金)，成色略差的金色，金黄色;佛赤（紫赤金)，拼入紫铜的杂金色，金赤色;田赤,拼入银的杂金色,淡黄色。还有一种“选金”,颜色如金但实际上是用银熏成的。</t>
  </si>
  <si>
    <t>猴毛灰</t>
  </si>
  <si>
    <t>淡赭</t>
  </si>
  <si>
    <t>绿豆褐</t>
  </si>
  <si>
    <t>出自中国建筑彩画，这门技法盛于隋唐,成规于宋,宋代《营造法式》第十四卷是集大成者。建筑彩画专用色彩名。李诚《营造法式·彩画作制度》云“内有青绿不可隔间处,于绿浅晕中用藤黄汁罩,谓之绿耳褐”。</t>
  </si>
  <si>
    <t>沉香</t>
  </si>
  <si>
    <t>文人之四大雅事,熏香、点茶。插花、挂画，香烟缭绕上通天意。姚思廉《梁书·诸夷传》载“函内又有琉璃碗,内得四合利及发爪，爪有四枚,并为沉香色”。宋诩《竹屿山房杂部》载“若沉香色,煎栗壳水，染大红，用红花水膏刷于胶矾纸也”。</t>
  </si>
  <si>
    <t>银灰</t>
  </si>
  <si>
    <r>
      <rPr>
        <sz val="11"/>
        <color theme="1"/>
        <rFont val="方正粗黑宋简体"/>
        <charset val="134"/>
      </rPr>
      <t>银灰色是浅灰中泛银蓝光泽的色彩，是传统国画中的矿物颜料用色，又是绸缎等丝织衣物的颜色。而在中华传统饮食文化中的活鱼食馔上，则属于高档精致的美食色泽。
国画中的银灰色颜料主要来自矿物中的蓝闪石( Glaucophane Schist )，是一种含有钠、铝、硅等成分，属闪石家族中的硅酸盐矿石，产自低温及长期高压环境所形成的变质岩中，呈棱柱状晶体结构，有灰色、蓝色、紫蓝色和蓝黑色。蓝闪石矿床分布较广，多出现在俯冲带的大洋板块—侧,台湾花莲地区就盛产蓝闪石矿，可雕琢成观赏用的饰品，而研成矿物色料后，则带有半透明的玻璃光泽，色感属于中性，象征尊严、平和与稳重。
银灰色是使用历史久远的衣服颜色，古人用硫化铅做媒染剂把布帛染成灰色，战国之前惯称丝织物为“帛”，包括锦、绫、绢、罗、绮、</t>
    </r>
    <r>
      <rPr>
        <sz val="11"/>
        <color theme="1"/>
        <rFont val="宋体"/>
        <charset val="134"/>
      </rPr>
      <t>紬</t>
    </r>
    <r>
      <rPr>
        <sz val="11"/>
        <color theme="1"/>
        <rFont val="方正粗黑宋简体"/>
        <charset val="134"/>
      </rPr>
      <t>等。</t>
    </r>
    <r>
      <rPr>
        <sz val="11"/>
        <color theme="1"/>
        <rFont val="宋体"/>
        <charset val="134"/>
      </rPr>
      <t>紬</t>
    </r>
    <r>
      <rPr>
        <sz val="11"/>
        <color theme="1"/>
        <rFont val="方正粗黑宋简体"/>
        <charset val="134"/>
      </rPr>
      <t>是绸的古字，是一种色光柔和显露光泽,用粗丝纺纱织成的平纹织品，灰染后会呈现出银灰的闪色。灰色的衣物传统上代表朴实与儒雅，而银灰色的绸缎衫袍及外套,则增添了几分细腻高雅的品位与光鲜明快的格调。
银灰色在古时的渔获中代表诱人的美馔颜色。在传统的河海鱼鲜食谱中，背身呈银灰色光泽的鱼类有银鲳、</t>
    </r>
    <r>
      <rPr>
        <sz val="11"/>
        <color theme="1"/>
        <rFont val="宋体"/>
        <charset val="134"/>
      </rPr>
      <t>鱲</t>
    </r>
    <r>
      <rPr>
        <sz val="11"/>
        <color theme="1"/>
        <rFont val="方正粗黑宋简体"/>
        <charset val="134"/>
      </rPr>
      <t>（又叫桃花鱼)、鲂（鳊鱼的古称）、鲈鱼、</t>
    </r>
    <r>
      <rPr>
        <sz val="11"/>
        <color theme="1"/>
        <rFont val="宋体"/>
        <charset val="134"/>
      </rPr>
      <t>鰆</t>
    </r>
    <r>
      <rPr>
        <sz val="11"/>
        <color theme="1"/>
        <rFont val="方正粗黑宋简体"/>
        <charset val="134"/>
      </rPr>
      <t>（即马鲛鱼)、鲻（又名乌头)，以及身长扁平无鳞的白带鱼等，都是千百年来的家常食用鱼。而其中较特别的是鱼背呈银灰色、腹部呈白色的鲈鱼，是古人细切生吃的名贵鱼种，自古已有入馔的记载。
我国的生鱼片料理，最早的文字记录出自《诗经·小雅·六月》“饮御诸友，</t>
    </r>
    <r>
      <rPr>
        <sz val="11"/>
        <color theme="1"/>
        <rFont val="宋体"/>
        <charset val="134"/>
      </rPr>
      <t>炰</t>
    </r>
    <r>
      <rPr>
        <sz val="11"/>
        <color theme="1"/>
        <rFont val="方正粗黑宋简体"/>
        <charset val="134"/>
      </rPr>
      <t>鳖脍鲤”，记述军事家和文学家尹吉甫在击败入侵的猃狁部落后，以蒸鳖（即甲鱼）及生鲤鱼片(脍)款待好友张仲及其友人的情景。《说文解字》又解释:“脍，细切肉也。”古代制脍的食材原本包括牛、羊、鱼等肉类，但自秦汉以后不流行生吃牛、羊肉，脍几乎仅指鱼脍。
在盛唐史官刘鲸编著的《隋唐嘉话》中记有:“吴郡献松江鲈，炀帝曰:‘所谓金斋玉脍，东南佳味也。’”文中的吴郡即今苏州，炀帝即隋炀帝杨广。当时以松江海河交界徊游的鲈鱼为上品鱼鲜。金斋是指用蒜、姜、盐、橘皮等调制成的金黄色酱料，专门用来搭配这种银灰色生鱼片食用。
此外，古代在处理生鱼片的刀工上显然和日本料理中必须切成长方形肉片的刺身不太一样。我国的鱼脍以切成细丝为标准，所以孔老夫子有“食不厌精，脍不厌细”(《论语·乡党》)的饮食要求。古人以“银丝”代表生鲈鱼肉丝，很有色彩感。元人刘可久的“玉手银丝脍，翠裙金缕纱”(《南吕·金字经·湖上书事》)，是写菜馆中穿着美艳的妇人亲手细切鲈鱼脍侍候客人的情景。银灰色的细切生鱼片，就是古代餐桌上的海味珍馐食色。</t>
    </r>
  </si>
  <si>
    <t>青圭</t>
  </si>
  <si>
    <t>以玉做六器，礼天地四方，青圭礼东方，其色属东方，其形象征春物初生。礼器之玉色。《周礼·春官·大宗伯》日“以青圭礼东方,以赤璋礼南方”。郑玄注“圭锐,象春物初生”。</t>
  </si>
  <si>
    <t>檀色</t>
  </si>
  <si>
    <t xml:space="preserve"> 179,109,97 </t>
  </si>
  <si>
    <r>
      <rPr>
        <sz val="11"/>
        <color theme="1"/>
        <rFont val="方正粗黑宋简体"/>
        <charset val="134"/>
      </rPr>
      <t>檀出自楚语，意思是布施,檀木不朽，慈悲心也是不灭的。</t>
    </r>
    <r>
      <rPr>
        <sz val="11"/>
        <color theme="0" tint="-0.349986266670736"/>
        <rFont val="方正粗黑宋简体"/>
        <charset val="134"/>
      </rPr>
      <t>檀：浅红色，浅绛色。</t>
    </r>
  </si>
  <si>
    <t>瓦灰</t>
  </si>
  <si>
    <t>降真香</t>
  </si>
  <si>
    <t>香色,烧烟直上,感引鹤降,降真之名以此。刘文泰《本草品汇精要》曰“烧之能引鹤降,功力极验,故名降真,宅舍怪异烧之，辟邪”。引鹤而降真之香色，若论仙气之色，舍此其谁也。</t>
  </si>
  <si>
    <t>淡绿灰</t>
  </si>
  <si>
    <t>夜灰</t>
  </si>
  <si>
    <t>葡萄褐</t>
  </si>
  <si>
    <t>陶宗仪《南村辍耕录·采绘法》云“蒲萄褐，用粉入三绿紫花合”。道家的理念、游牧的环境，这两个因素促使宋元之际褐色在社会各阶层大规模流行，且褐色的色目细分趋向极致。</t>
  </si>
  <si>
    <t>雷雨垂</t>
  </si>
  <si>
    <t>黑云压城、大雨欲来之色。黑云压城城欲摧的颜色,愈打压愈坚强,才是真汉子颜色。</t>
  </si>
  <si>
    <t>垩灰</t>
  </si>
  <si>
    <t>苔古</t>
  </si>
  <si>
    <t>在唐太宗《过旧宅二首》的得音句子里，往事并不如烟，这是不动声色的大人物颜色。其色苔藓老，其意江山定。</t>
  </si>
  <si>
    <r>
      <rPr>
        <sz val="11"/>
        <color theme="1"/>
        <rFont val="方正粗黑宋简体"/>
        <charset val="134"/>
      </rPr>
      <t>茹</t>
    </r>
    <r>
      <rPr>
        <sz val="11"/>
        <color theme="1"/>
        <rFont val="宋体"/>
        <charset val="134"/>
      </rPr>
      <t>藘</t>
    </r>
  </si>
  <si>
    <r>
      <rPr>
        <sz val="11"/>
        <color theme="1"/>
        <rFont val="方正粗黑宋简体"/>
        <charset val="134"/>
      </rPr>
      <t>茹</t>
    </r>
    <r>
      <rPr>
        <sz val="11"/>
        <color theme="1"/>
        <rFont val="宋体"/>
        <charset val="134"/>
      </rPr>
      <t>藘</t>
    </r>
    <r>
      <rPr>
        <sz val="11"/>
        <color theme="1"/>
        <rFont val="方正粗黑宋简体"/>
        <charset val="134"/>
      </rPr>
      <t>就是茜草,《诗经》里茜草是说一不二的爱情色。即茜草,其根可制作绛红色染料。语出《诗经·郑风·出其东门》“出其闉闍, 有女如荼。虽则如荼,匪我思且。缟衣茹藘,聊可与娱!”毛传“茹藘,茅蒐之染女服也”。</t>
    </r>
  </si>
  <si>
    <t>深灰</t>
  </si>
  <si>
    <t>嫩灰</t>
  </si>
  <si>
    <t>雁灰</t>
  </si>
  <si>
    <t>芦灰</t>
  </si>
  <si>
    <t>老茯神</t>
  </si>
  <si>
    <t xml:space="preserve">中药材色之一种，越千载而生蜜蜡色。茯神在干老后其色近似琥珀,松间隐居,拂松花,采松实,酿松针酒,养老茯神,不似人间。 </t>
  </si>
  <si>
    <t>锌灰</t>
  </si>
  <si>
    <t>火泥棕</t>
  </si>
  <si>
    <t>鹰背褐</t>
  </si>
  <si>
    <t>褐色来自生动鲜活的具象，金茶、秋茶、酱茶、沉香、鹰背、砖、豆、葱、竹、珠子、霜、藕丝、茶绿、葡萄、油粟、檀、荆、艾、银、驼。宋元流行褐色、袭至明初。陶宗仪《南村辍耕录·采绘法》云“鹰背褐,用粉入檀子、烟墨、土黄合”。</t>
  </si>
  <si>
    <t>大云</t>
  </si>
  <si>
    <t xml:space="preserve">通大荟，又名肉苁蓉，自西域传入的药材之色。李时珍《本草纲目》云“此物补而不峻，故有从容之号”。大地之精，补阳不燥，补阴不腻，常近此色必得好皮囊、好颜色。 </t>
  </si>
  <si>
    <t>草灰绿</t>
  </si>
  <si>
    <t>蚩尤旗</t>
  </si>
  <si>
    <t>战神红旗之色。《皇览》日“蚩尤冢在东平郡寿张县阚乡城中,高七丈,民常以十月祀之,有赤气出如匹绛帛,民名为蚩无旗”。战狼出,蚩尤升，赤气裂帛。</t>
  </si>
  <si>
    <r>
      <rPr>
        <sz val="11"/>
        <color theme="1"/>
        <rFont val="方正粗黑宋简体"/>
        <charset val="134"/>
      </rPr>
      <t>荩</t>
    </r>
    <r>
      <rPr>
        <sz val="11"/>
        <color theme="1"/>
        <rFont val="宋体"/>
        <charset val="134"/>
      </rPr>
      <t>篋</t>
    </r>
  </si>
  <si>
    <t>居家过日子的草箱子的颜色，普通得不能再普涌,却有家的感觉。荩草干操后编织而成的箱箧色,其色朴实无华,其意相濡以沫。</t>
  </si>
  <si>
    <t>茶色</t>
  </si>
  <si>
    <t xml:space="preserve"> 179,92,68</t>
  </si>
  <si>
    <t>144，52，35</t>
  </si>
  <si>
    <r>
      <rPr>
        <sz val="11"/>
        <color theme="1"/>
        <rFont val="方正粗黑宋简体"/>
        <charset val="134"/>
      </rPr>
      <t xml:space="preserve">顾名思义，颜色名词茶色是指茶汤的色泽，千百年来，茶饮的色与香，都与清雅怡和沾上关系，是优雅消遣、养性悟道的象征色彩，亦是组成中国传统文化的重要元素之一。
茶起源于我国，相传是由神农氏首先发现。唐代吃茶专家陆羽在他所著的世界上第一部茶叶专著《茶经》中称:“茶之为饮，发乎神农氏。”陆羽又说“茶者，南方之嘉木也”，指茶树的产地在南方。茶最早是作为解毒药生嚼服用。到了西周时，茶已成为贡品:“周武王伐纣，实得巴蜀之师……茶蜜……皆纳贡之。”(东晋常臻《华阳国志·巴志》）巴蜀即今四川一带，可能那时已有人工栽培的茶园，即南方人比北方人更早有吃茶的习惯。在唐代文人封演所著的《封氏闻见记》中也说:“南人好饮之,北人初不饮。”即茶汤之黄褐色最早在南方出现。而迄今发现的世界上最大的野生茶树是位于云南省勐县境内。
茶饮到了西汉时期已是宫廷中的一种高尚消遣;煮茶在唐代已蔚然成风，都城长安(今西安）更兴起了茶会，文人雅士借着黄褐色的茶汤品茶论道，激发文思与灵感;而宋代的茶人则崇尚清淡，从茶褐色的光泽中品味人生与寻求深奥的哲理。世界上最早引进茶的国家是日本，在唐朝顺宗永贞元年，日本僧人最澄法师到浙江等地留学，并把茶叶及种子带回东瀛传播,因而日本至今仍习惯称茶汤色为“唐茶色”。到了明代万历三十八年,茶叶首次远售到西方的荷兰，6年后运售到丹麦,茶叶开始转售到欧洲各地并受到欢迎。最后，这种来自中国的昂贵茶饮遂成为各国宫廷贵族间的高尚社交消遣，以及精致品位的身份象征;而茶褐色远传自神秘的东方，代表优雅与高贵的色泽。
茗盏中的茶汤色凝聚了东方古代文明的智慧与闲情逸致的情怀，其特色与含义延续至今依旧未变。
</t>
    </r>
    <r>
      <rPr>
        <sz val="11"/>
        <color theme="1" tint="0.349986266670736"/>
        <rFont val="方正粗黑宋简体"/>
        <charset val="134"/>
      </rPr>
      <t>宋代的审美是细腻而贴近自然的,目送友人离去,记录的是友人的衣服在朝暮光线间的颜色变化,“来衣茶色袍,归变椹色服”。</t>
    </r>
    <r>
      <rPr>
        <sz val="11"/>
        <color theme="0" tint="-0.349986266670736"/>
        <rFont val="方正粗黑宋简体"/>
        <charset val="134"/>
      </rPr>
      <t>茶色：一种比栗色稍红的棕橙色至浅棕色。</t>
    </r>
  </si>
  <si>
    <t>赭罗</t>
  </si>
  <si>
    <t>辛弃疾说这是猩猩血的颜色，齐桓公问管子:“天财所出,地利所在?”管子回答:“赭土之下是宝贵的铁矿。”这也是宝矿的颜色。赭,指土壤、矿石的红褐色。土壤和矿石呈现红褐色,大多因为含有铁元素。赭罗，染成赭色的罗，罗是绫罗绸缎的罗，属于丝织品比较疏松、轻软的一种。人类对于赭色，先是从鲜血认识到具象的色彩，在大脑中加工后,使用身边可以得到的赭土、赭石染色，模仿鲜血的颜色，这个模仿搭载着人类的意识——从这种血色获得生命力。18 000年前的山顶洞人就会在逝者的身上和周围撒赭红色的赤铁矿粉。 《山海经》是远古的颜料资源分布图，其中14处提到赭、美赭、流赭。在出土的远古彩陶中，黑色和赭红色陶器占了多数，而赭红色陶器的着色剂正是赤铁矿石粉。 赭罗是上等的服饰,但还有一种染成赭红色的粗麻服饰,称作“赭衣”，在古时是囚犯的制服。</t>
  </si>
  <si>
    <t>老僧衣</t>
  </si>
  <si>
    <t>茶叶末这个颜色的变体是老僧衣,旧时北京管茶叶末叫“高末”，透着敬重谦卑,如老僧入定。许之衡《饮流斋说瓷》日“康熙以后,专尚淡黄,统称蛋黄也。其稍深者谓之熟蛋黄,
稍浅者谓之生蛋黄。若和黑、绿二色者,则名茶叶末。茶末导源最古，一为纯正之茶
末，一为不纯之茶末。不纯正者或偏于黄,或偏于绿。纯正者如将茶叶研成细末,调于
釉中，其色古雅幽穆，足当清供焉。其黑色稍浓而有黄色碎点，周遭围绕于底足间者,
谓之鳝鱼皮,亦象形语也。若鼻烟,若菜尾,若老僧衣，皆茶叶末之变体”。孙传庭《又菊四咏·老僧衣》咏“远公旧在渊明社,释氏应粘隐逸花。不分禅心常寂寞,故教秋色满袈裟”。</t>
  </si>
  <si>
    <t>荆褐</t>
  </si>
  <si>
    <t>《居家必用事类全集》云“染荆褐，以物帛十两为率。荆叶五两,白矾二两，皂碗少末。将荆叶煎作浓汁。亦先矶过物帛扭干，方下颜色汁内。皂矾旋看颜色轻重用之”。陶宗仪《南村辍耕录·采绘法》云“荆褐,用粉入槐花、螺青、土黄标合”。日本在江户后期也兴起近似褐色系的“四十八茶百鼠”，茶色和鼠色的分类也一样细致繁杂，极大地繁荣了日本的传统色。</t>
  </si>
  <si>
    <t>夏云灰</t>
  </si>
  <si>
    <t>濯绛</t>
  </si>
  <si>
    <t>中国画以赭色和淡墨色渲染山石,称之为濯绛或浅绛,清末这种技法在景德镇有了演化，成为饱含中国画传统神韵的彩瓷,称为浅绛彩。亦称紫赯、浾棠、浅绛。刘勰《文心雕龙·通变》曰“故练青濯绛,必归蓝蒨,矫讹翻浅,还宗经诰”。方以智《通雅·衣服·彩色》云“濯绛，合墨赭之色也,今曰紫赯,正古之淡也。《说文》淡即浾字,一作泟，为防之重文。防即赪也。浾防,棠枣之汁。孙愐收赯字,如今人称紫赯色,正指浾棠色也。画家以赭石和淡黑染山石,曰濯绛，又曰浅绛。郭若虚曰:设色轻拂丹青曰吴装”。</t>
  </si>
  <si>
    <t>绞衣</t>
  </si>
  <si>
    <t>绞是黄绿色，《礼记》规定的礼制,青狐犬袖口的麋鹿皮衣外配搭这种颜色的罩衣。郑玄注“绞,苍黄之色也”。陈澔日“绞,青黄之缯也”。张戬《考声》日“绞,谓缯黑黄间色也”《集韵·爻韵》日“绞,苍黄色”。</t>
  </si>
  <si>
    <t>吉金</t>
  </si>
  <si>
    <t>钟鼎彝器的统称,本义是铸造青铜器的合金。铸造钟鼎彝器的合金色,此色一出,必有之重器。 人类接触金属，铜是最容易加工的早期对象。铜的天然来源主要是铜矿石和自然铜，孔雀石、蓝铜矿、赤铜矿、自然钢分别呈绿色、蓝色、老红色和金红色。铜的人工冶炼可以得到铜合金，红铜、黄铜、青铜分别呈从红到黄的不同色度。</t>
  </si>
  <si>
    <t>中红灰</t>
  </si>
  <si>
    <t>石涅</t>
  </si>
  <si>
    <t>即石墨,亦称黑石脂。今之石墨色,陆云给陆机的信中说“曹公藏石墨数十万斤”,可知曹操甚爱之。</t>
  </si>
  <si>
    <t>紫酱</t>
  </si>
  <si>
    <t>紫酱：浑浊的紫色</t>
  </si>
  <si>
    <t>鲛青</t>
  </si>
  <si>
    <t>黑朱</t>
  </si>
  <si>
    <t>亦称紫黑，源自斑铜矿，中国画传统颜料色。杨小晋《中国画之色》云“(黑朱)其条痕为灰黑色，在画面上呈现出丝绒的质感，具有浑柔美，与纯粹墨黑的现场观感不同，极大丰富了黑色的表现力”。如果用西方的语言，这是“几十度灰"?中文的微妙在于画笔下的丝绒质感，见字会意。</t>
  </si>
  <si>
    <t>龟背黄</t>
  </si>
  <si>
    <t>鸦雏</t>
  </si>
  <si>
    <t>乌鸦雏鸟，灰黑稚色。多形容小女子黑发色。此色出自《西洲曲》“单杉杏子红,双鬓鸦雏色”。这是小情人的梦影。</t>
  </si>
  <si>
    <t>棠梨褐</t>
  </si>
  <si>
    <r>
      <rPr>
        <sz val="11"/>
        <color theme="1"/>
        <rFont val="方正粗黑宋简体"/>
        <charset val="134"/>
      </rPr>
      <t>道家风范在赵家子孙中的遗响,近年黄岩南宋赵伯</t>
    </r>
    <r>
      <rPr>
        <sz val="11"/>
        <color theme="1"/>
        <rFont val="宋体"/>
        <charset val="134"/>
      </rPr>
      <t>澐</t>
    </r>
    <r>
      <rPr>
        <sz val="11"/>
        <color theme="1"/>
        <rFont val="方正粗黑宋简体"/>
        <charset val="134"/>
      </rPr>
      <t>墓出土服饰可为佐证,保存完好的八重衣裳均为深浅不一的褐色。宋元流行褐色,袭至明初。陶宗仪《南村辍桥录·采绘法》云“棠梨褐,用粉入土黄、银朱合”。</t>
    </r>
  </si>
  <si>
    <t>秋色</t>
  </si>
  <si>
    <t>秋色：1，中常橄榄棕色,它比一般橄榄棕色稍暗,且稍稍绿些。
2，古以秋为金,其色白,故代指白色</t>
  </si>
  <si>
    <t>鱼尾灰</t>
  </si>
  <si>
    <r>
      <rPr>
        <sz val="11"/>
        <color theme="1"/>
        <rFont val="宋体"/>
        <charset val="134"/>
      </rPr>
      <t>綟</t>
    </r>
    <r>
      <rPr>
        <sz val="11"/>
        <color theme="1"/>
        <rFont val="方正粗黑宋简体"/>
        <charset val="134"/>
      </rPr>
      <t>绶</t>
    </r>
  </si>
  <si>
    <r>
      <rPr>
        <sz val="11"/>
        <color theme="1"/>
        <rFont val="宋体"/>
        <charset val="134"/>
      </rPr>
      <t>綟</t>
    </r>
    <r>
      <rPr>
        <sz val="11"/>
        <color theme="1"/>
        <rFont val="方正粗黑宋简体"/>
        <charset val="134"/>
      </rPr>
      <t>是墨绿色,故而诸侯王公的印绶也称绿绶。汉唐以降,诸侯王公之绶色。史游《急就篇》日“缥</t>
    </r>
    <r>
      <rPr>
        <sz val="11"/>
        <color theme="1"/>
        <rFont val="宋体"/>
        <charset val="134"/>
      </rPr>
      <t>綟</t>
    </r>
    <r>
      <rPr>
        <sz val="11"/>
        <color theme="1"/>
        <rFont val="方正粗黑宋简体"/>
        <charset val="134"/>
      </rPr>
      <t>绿纨皂紫</t>
    </r>
    <r>
      <rPr>
        <sz val="11"/>
        <color theme="1"/>
        <rFont val="宋体"/>
        <charset val="134"/>
      </rPr>
      <t>硟</t>
    </r>
    <r>
      <rPr>
        <sz val="11"/>
        <color theme="1"/>
        <rFont val="方正粗黑宋简体"/>
        <charset val="134"/>
      </rPr>
      <t>”。颜师古注“</t>
    </r>
    <r>
      <rPr>
        <sz val="11"/>
        <color theme="1"/>
        <rFont val="宋体"/>
        <charset val="134"/>
      </rPr>
      <t>綟</t>
    </r>
    <r>
      <rPr>
        <sz val="11"/>
        <color theme="1"/>
        <rFont val="方正粗黑宋简体"/>
        <charset val="134"/>
      </rPr>
      <t>，苍艾色。东海有草,其名日</t>
    </r>
    <r>
      <rPr>
        <sz val="11"/>
        <color theme="1"/>
        <rFont val="Microsoft YaHei UI"/>
        <charset val="134"/>
      </rPr>
      <t>䓞</t>
    </r>
    <r>
      <rPr>
        <sz val="11"/>
        <color theme="1"/>
        <rFont val="方正粗黑宋简体"/>
        <charset val="134"/>
      </rPr>
      <t>,以染此色,因名</t>
    </r>
    <r>
      <rPr>
        <sz val="11"/>
        <color theme="1"/>
        <rFont val="宋体"/>
        <charset val="134"/>
      </rPr>
      <t>綟</t>
    </r>
    <r>
      <rPr>
        <sz val="11"/>
        <color theme="1"/>
        <rFont val="方正粗黑宋简体"/>
        <charset val="134"/>
      </rPr>
      <t>云”。《后汉书·舆服志》曰“诸国贵人、相国皆绿授”。刘昭注引徐广云“</t>
    </r>
    <r>
      <rPr>
        <sz val="11"/>
        <color theme="1"/>
        <rFont val="宋体"/>
        <charset val="134"/>
      </rPr>
      <t>綟</t>
    </r>
    <r>
      <rPr>
        <sz val="11"/>
        <color theme="1"/>
        <rFont val="方正粗黑宋简体"/>
        <charset val="134"/>
      </rPr>
      <t>,草名也。以染似绿,又似紫”。汉代的官印要随身携带，腰侧有专门放置印的囊，印放于囊中，印上面系的长绶带要以大回环垂于腹前，别人一看绶带色彩，便知其身份地位。佩绶制度在战国、秦代就有，在汉代发扬光大，规定很详细:汉高祖时，三公为金印紫绶、御史大夫、九卿和二千石以上官员为银印青绶，二千石以下、六百石以上是铜印黑绶,六百石以下、二百石以上是铜印黄绶。</t>
    </r>
  </si>
  <si>
    <t>育阳染</t>
  </si>
  <si>
    <r>
      <rPr>
        <sz val="11"/>
        <color theme="1"/>
        <rFont val="方正粗黑宋简体"/>
        <charset val="134"/>
      </rPr>
      <t>本书的重大发现之一，两千年前中国古人已经使用牛仔布的织法,织成与牛仔布一样的颜色。经线为靛,纬线为缥,类似牛仔布的古代织染法,其色亦近。育阳染,来自以靛蓝色为经线、以浅蓝色为纬线的丝织物，这种经线和纬线的颜色搭配，与今天牛仔布相同。许慎《说文解字·系部》日“</t>
    </r>
    <r>
      <rPr>
        <sz val="11"/>
        <color theme="1"/>
        <rFont val="宋体"/>
        <charset val="134"/>
      </rPr>
      <t>䋭</t>
    </r>
    <r>
      <rPr>
        <sz val="11"/>
        <color theme="1"/>
        <rFont val="方正粗黑宋简体"/>
        <charset val="134"/>
      </rPr>
      <t>,帛青经缥纬。一日育阳染也”。《汉书·地理志》“南阳郡有育阳县”。“育阳”《后汉书·郡国志》作“</t>
    </r>
    <r>
      <rPr>
        <sz val="11"/>
        <color theme="1"/>
        <rFont val="宋体"/>
        <charset val="134"/>
      </rPr>
      <t>䋭</t>
    </r>
    <r>
      <rPr>
        <sz val="11"/>
        <color theme="1"/>
        <rFont val="方正粗黑宋简体"/>
        <charset val="134"/>
      </rPr>
      <t>阳”。县在育水北，故曰育阳。《重修广韵》曰“</t>
    </r>
    <r>
      <rPr>
        <sz val="11"/>
        <color theme="1"/>
        <rFont val="宋体"/>
        <charset val="134"/>
      </rPr>
      <t>䋭</t>
    </r>
    <r>
      <rPr>
        <sz val="11"/>
        <color theme="1"/>
        <rFont val="方正粗黑宋简体"/>
        <charset val="134"/>
      </rPr>
      <t xml:space="preserve">，青经白纬, </t>
    </r>
    <r>
      <rPr>
        <sz val="11"/>
        <color theme="1"/>
        <rFont val="宋体"/>
        <charset val="134"/>
      </rPr>
      <t>䋭</t>
    </r>
    <r>
      <rPr>
        <sz val="11"/>
        <color theme="1"/>
        <rFont val="方正粗黑宋简体"/>
        <charset val="134"/>
      </rPr>
      <t>阳所织”。</t>
    </r>
  </si>
  <si>
    <t>绀</t>
  </si>
  <si>
    <t>绀是固有颜色名，是指布帛中的一种色染颜色。《释名》说:“绀，含也，谓青而含赤色也。”《说文解字》也将其解释为“帛深青扬赤色”，是说绀是浓蓝中透微红的色泽，色感属深沉肃穆的暖蓝色调。
绀蓝的服色在各个时代有不同的含义。在周代绀为斋戒服装的颜色，孔夫子对君子的衣冠服色考虑周密,认为“君子不以绀緅饰”(《论语·乡党》)。緅是黑中透红的衣色，是丧服的颜色，即是说君子不应该穿着镶有绀色及緅色（青赤）衣边的服装。
公元前206年，汉高祖刘邦灭秦建立西汉王朝，基本上仍沿用秦朝的旧有服饰制度，汉代女子的礼服及谒庙服也采用前朝的深衣制，深衣是一种衣与下裳连缀在一起的宽膊服式。《后汉书·舆服志》记载:“太皇太后、皇太后、皇后入庙服，绀上皂下……”即皇族贵夫人进皇庙拜祀所穿着的深衣上半身是绀蓝色，下半身为皂黑色，以表示庄重与敬畏天地。在3世纪的三国时期，绀色文锦(绵)是高级的丝织品,西晋陈寿的《三国志·乌丸鲜卑东夷传》记有:“又特赐汝绀地文绵三匹……白绢五十匹，金八两……”文中的“汝”是指东夷率善校尉牛利。绀蓝又是历朝的庶民服色之一。到了清朝初年，绀蓝与石青等较素净的颜色是满族男装中的马褂常用色。马褂是满族男子的四种制服之一，四种制服分别是礼服、常服、雨服和行服。马褂属行服，是骑马时的装束。
绀在古时又用来形容天色，绀碧是指上空深蓝透微红色的自然色彩。绀殿义同佛寺，唐人李白写有诗句:“绀殿横江上，青山落镜中。”(《流夜郎至江夏陪长史叔及薛明府宴兴德寺南阁》)而“绀趾丹嘴、绿衣翠衿”(《文选·称衡·鹦鹉赋》)中的绀趾是描写彩鸟鹦鹉的脚趾颜色。</t>
  </si>
  <si>
    <t>黎</t>
  </si>
  <si>
    <t>黎：黑中带黄似黎草色</t>
  </si>
  <si>
    <t>紫诰</t>
  </si>
  <si>
    <t>《西京杂记》云“汉以武都紫泥为玺室”。本书以此色收尾甚好，我为诸位呈上“好色之旅”的锦囊,诸位以紫泥封印，这次相遇如此美好。</t>
  </si>
  <si>
    <t>棕色</t>
  </si>
  <si>
    <t>178，93，37</t>
  </si>
  <si>
    <r>
      <rPr>
        <sz val="11"/>
        <color theme="1"/>
        <rFont val="方正粗黑宋简体"/>
        <charset val="134"/>
      </rPr>
      <t>棕原指生长在我国南方的棕榈树，棕为俗字，原写作</t>
    </r>
    <r>
      <rPr>
        <sz val="11"/>
        <color theme="1"/>
        <rFont val="宋体"/>
        <charset val="134"/>
      </rPr>
      <t>椶</t>
    </r>
    <r>
      <rPr>
        <sz val="11"/>
        <color theme="1"/>
        <rFont val="方正粗黑宋简体"/>
        <charset val="134"/>
      </rPr>
      <t>。棕又是固有颜色名词，是指红、黄、黑三色经不同比例调和后，所产生的任何一种呈暗淡亮度的色泽。棕色色感沉实不张扬，是传统家居用品、衣饰的惯见颜色，是代表庶民的色彩。棕榈树早在古书《山海经》中已有记载:“石</t>
    </r>
    <r>
      <rPr>
        <sz val="11"/>
        <color theme="1"/>
        <rFont val="宋体"/>
        <charset val="134"/>
      </rPr>
      <t>脃</t>
    </r>
    <r>
      <rPr>
        <sz val="11"/>
        <color theme="1"/>
        <rFont val="方正粗黑宋简体"/>
        <charset val="134"/>
      </rPr>
      <t>之上，其木多</t>
    </r>
    <r>
      <rPr>
        <sz val="11"/>
        <color theme="1"/>
        <rFont val="宋体"/>
        <charset val="134"/>
      </rPr>
      <t>椶</t>
    </r>
    <r>
      <rPr>
        <sz val="11"/>
        <color theme="1"/>
        <rFont val="方正粗黑宋简体"/>
        <charset val="134"/>
      </rPr>
      <t>。”</t>
    </r>
    <r>
      <rPr>
        <sz val="11"/>
        <color theme="1"/>
        <rFont val="宋体"/>
        <charset val="134"/>
      </rPr>
      <t>脃</t>
    </r>
    <r>
      <rPr>
        <sz val="11"/>
        <color theme="1"/>
        <rFont val="方正粗黑宋简体"/>
        <charset val="134"/>
      </rPr>
      <t>为脆之古字，不坚易断者谓之</t>
    </r>
    <r>
      <rPr>
        <sz val="11"/>
        <color theme="1"/>
        <rFont val="宋体"/>
        <charset val="134"/>
      </rPr>
      <t>脃</t>
    </r>
    <r>
      <rPr>
        <sz val="11"/>
        <color theme="1"/>
        <rFont val="方正粗黑宋简体"/>
        <charset val="134"/>
      </rPr>
      <t>。棕榈属常绿乔木，形如一柱擎天状，杜甫的《枯棕》也这样形容:“蜀门多棕榈，高者十八九。其皮割剥甚，虽众亦易朽。”色泽呈深棕色的棕榈树皮纤维自古即用来编织扫把、头笠及搓制绳索等日常用品，例如《水浒传》（第四十一回)中公孙胜，其穿着:“...…公孙胜依旧做云游道士打扮了，腰裹腰包、肚包，背上雌雄宝剑，肩膊上挂着棕笠，手中拿把鳖壳扇，便下山来。”文中的“鳖”即甲鱼。而在同书的第一回中，“神机军师”朱武的装束更特别:“道服裁棕叶，云冠剪鹿皮。”棕绳在古代可扎货亦可绑人:“行者(孙悟空）笑道:‘莫说是麻绳捆的，就是碗粗的棕缆，只也当秋风过耳,何足罕哉!’”(《西游记》第七十七回)
棕色亦多用来形容木器、藤具、麻布衣鞋、寝褥毛毡的颜色以及中老年人的服色:“只见那公馆门口站了一个瘦长脸的人，穿了件棕紫熟罗棉大袄，手里捧了一支洋白铜二马车水烟袋……”(清朝刘鹗《老残游记》）传统油炸食物中色泽偏金黄的棕色是表示松脆可口的颜色。棕色也象征秋天的干枯叶色和落寞的心理色感，而铁锈则是偏暗红的棕色。现今，天然的黄棕色颜料多来自遍布世界各地的矿物锰，因矿土含棕黑色的二氧化锰( MnO,)及赤黄色的氧化铁( Fe-O。)等化合物,故呈黄棕色，是现代涂料中较便宜的金属无机油漆颜料。</t>
    </r>
    <r>
      <rPr>
        <sz val="11"/>
        <color theme="0" tint="-0.499984740745262"/>
        <rFont val="方正粗黑宋简体"/>
        <charset val="134"/>
      </rPr>
      <t>棕色：棕毛的颜色,即褐色。 1，在红色和黄色之间的任何一种颜色2，适中的暗淡和适度的浅黑。</t>
    </r>
  </si>
  <si>
    <t>鼠背灰</t>
  </si>
  <si>
    <t>淡可可棕</t>
  </si>
  <si>
    <t>蟹蝥红</t>
  </si>
  <si>
    <t>远志</t>
  </si>
  <si>
    <t>中药材色之一种。张华《博物志》说“远志苗日小草，根曰远志”，我是一棵无人知道的小草，从不寂寞，从不烦恼，因为根叫远志，此乃身微而志强之色。</t>
  </si>
  <si>
    <t>狼烟灰</t>
  </si>
  <si>
    <t>山鸡褐</t>
  </si>
  <si>
    <t>淡咖啡</t>
  </si>
  <si>
    <t>檀褐</t>
  </si>
  <si>
    <t>陶宗仪《南村辍耕录·采绘法》云 “檀褐，用土黄入紫花合”。宋元两代，褐色都是皇家禁色，这是传统色史纲的冷知识。</t>
  </si>
  <si>
    <t>棕黄</t>
  </si>
  <si>
    <t>棕黄：浅褐色。</t>
  </si>
  <si>
    <t>射干</t>
  </si>
  <si>
    <t>颜色考据自我国分布广泛的射干,取其干燥根茎色。中药材色之一种。鸢尾科植物射干的干燥根茎,有清热解毒、消痰利咽之功效</t>
  </si>
  <si>
    <t>苔绿</t>
  </si>
  <si>
    <t>偏黄的暗绿色，苔藓之色。古人常以此色喻夏意浓或环境幽深。欧阳修有“雨声萧萧泥滑滑，草深苔绿无人行”之句。</t>
  </si>
  <si>
    <t>缊韨</t>
  </si>
  <si>
    <r>
      <rPr>
        <sz val="11"/>
        <color theme="1"/>
        <rFont val="方正粗黑宋简体"/>
        <charset val="134"/>
      </rPr>
      <t>茜草（也就是茅</t>
    </r>
    <r>
      <rPr>
        <sz val="11"/>
        <color theme="1"/>
        <rFont val="宋体"/>
        <charset val="134"/>
      </rPr>
      <t>蒐</t>
    </r>
    <r>
      <rPr>
        <sz val="11"/>
        <color theme="1"/>
        <rFont val="方正粗黑宋简体"/>
        <charset val="134"/>
      </rPr>
      <t>草）染的赤黄色为</t>
    </r>
    <r>
      <rPr>
        <sz val="11"/>
        <color theme="1"/>
        <rFont val="宋体"/>
        <charset val="134"/>
      </rPr>
      <t>缊</t>
    </r>
    <r>
      <rPr>
        <sz val="11"/>
        <color theme="1"/>
        <rFont val="方正粗黑宋简体"/>
        <charset val="134"/>
      </rPr>
      <t>，跪拜用的腰间围裙为</t>
    </r>
    <r>
      <rPr>
        <sz val="11"/>
        <color theme="1"/>
        <rFont val="宋体"/>
        <charset val="134"/>
      </rPr>
      <t>韨</t>
    </r>
    <r>
      <rPr>
        <sz val="11"/>
        <color theme="1"/>
        <rFont val="方正粗黑宋简体"/>
        <charset val="134"/>
      </rPr>
      <t>,这是子爵男爵大夫的贵族服色。</t>
    </r>
    <r>
      <rPr>
        <sz val="11"/>
        <color theme="1"/>
        <rFont val="宋体"/>
        <charset val="134"/>
      </rPr>
      <t>缊韨</t>
    </r>
    <r>
      <rPr>
        <sz val="11"/>
        <color theme="1"/>
        <rFont val="方正粗黑宋简体"/>
        <charset val="134"/>
      </rPr>
      <t>是用茅</t>
    </r>
    <r>
      <rPr>
        <sz val="11"/>
        <color theme="1"/>
        <rFont val="宋体"/>
        <charset val="134"/>
      </rPr>
      <t>蒐</t>
    </r>
    <r>
      <rPr>
        <sz val="11"/>
        <color theme="1"/>
        <rFont val="方正粗黑宋简体"/>
        <charset val="134"/>
      </rPr>
      <t xml:space="preserve">草染成赤黄色的蔽膝,这是尚礼之色、贵族之气。类似裙摆、在前面、盖住大腿至膝盖的衣饰称作蔽膝。蔽膝应与下裳的颜色保持一致，君王用朱红色，大夫用素白色,士用棕红皮革色。在君王、大夫和士这三个社会阶层中，士的地位比较低，蔽膝接近于皮革的原始颜色。 缊韨是赤黄色,按理说不应该有异议。茜草染色的基本工艺, 縓、赪、纁、朱、緅、玄、缁是由浅到深、由红到黑的染色序列，纁可以说是赤黄色。我在确定缊韨颜色的时候，考虑到皮革的原始颜色，因此略把缊韨的颜色往棕红调整了一下,其意在此。 贵族的蔽膝叫作缊韨，而士的蔽膝叫作韎韐。韎,跟缊一样，都是赤黄色, 韎,也是从皮革而来的。 </t>
    </r>
  </si>
  <si>
    <t>玄天</t>
  </si>
  <si>
    <t>预示着天地洪荒,混沌未明,玄之又玄，众妙之门。玄,黎明的太阳跃出地平线前的天色。玄天,天地洪荒、混沌未明的幽黑微红。许慎《说文解字·玄部》日“黑而有赤色者为玄”。玄和纁一样,都是至高无上的天色，玄衣纁裳是上古礼服的最高配置。</t>
  </si>
  <si>
    <t>黪色</t>
  </si>
  <si>
    <t>较浅的灰黑色，接近于中
灰。可引申为颜色暗淡。
如宋人邓深诗中所说:“浓云黯黪无光影。”戏曲中，以黪色髯口表示中老年男性。</t>
  </si>
  <si>
    <t>驼褐</t>
  </si>
  <si>
    <t>春起早寒,晓寒飒飒,山色盈盈,暖意入酒杯，说的正是这种安逸。</t>
  </si>
  <si>
    <t>黝黑</t>
  </si>
  <si>
    <t>黝黑：（皮肤暴露在太阳光下而晒成的）青黑色</t>
  </si>
  <si>
    <t>苏方/苏枋/木红</t>
  </si>
  <si>
    <t>129，71，76</t>
  </si>
  <si>
    <r>
      <rPr>
        <sz val="11"/>
        <rFont val="方正粗黑宋简体"/>
        <charset val="134"/>
      </rPr>
      <t>植物苏枋，古时又有苏木、苏芳、苏方、番子刺树等名称，因树中含色素，可染纤维，是古代主要红色植物染料之一。而在亚洲其他地方的民族，利用苏枋漂染织物也有数千年的历史。
染材苏枋为热带灌木，原产自马来群岛及我国云南、广东、广西及海南岛等地。苏枋木是现代东方普遍流行的专用名词，据说它的名字源自印度尼西亚爪哇古语中的“sapan”，即“红色”的意思。在古籍《唐本草》中有记载:“苏枋木自南海昆仑来，而交州、爱州亦有之，树似庵罗，叶若榆叶……花黄，子青熟黑，其木，人用染绛色。”我国古代称皮肤黝黑的人为昆仑，绛是大红色。在晋代稽含所著的《南方草木状》中亦记有:“苏枋，树类槐花，黑子，出九真，南人以染绛，渍以大庚之水，则色愈深。”因而以苏枋染成的红色，是我国南方最普遍的红色衣物的色彩。
用苏枋木染纺织品的方法，在《天工开物》:“用苏木煎水，入明矾、柘子。”明矾是媒染剂，柘子即柘树，又称野梅子、野荔枝。古人知道用苏枋染渍织物时，若加进明矾会起到催化作用，布帛在经过复染后会产生深浅度不同的红色效应。以苏枋渍染织物的方法大约在唐代后期传至日本，写于927年的日本色染文献《延喜式》中，亦记有用苏枋漂染成不同色阶的红色的方法:“深苏芳绫一疋:苏芳大一斤，酢八合，灰三斗，薪一百二十斤。中苏芳绫一疋:苏芳大八两，酢六合，灰二斤，薪九十斤。浅苏芳绫一疋:苏芳小五两，酢一合，灰八升，薪六十斤。”文献中提到的绫是一种单面有光泽且较薄的丝织物，酢指醋，薪是柴火。而以苏枋染成的色彩在日本则统称为朱枋色。</t>
    </r>
    <r>
      <rPr>
        <sz val="11"/>
        <color theme="9" tint="-0.499984740745262"/>
        <rFont val="方正粗黑宋简体"/>
        <charset val="134"/>
      </rPr>
      <t>苏枋染出的红色。苏枋也称苏木，是古代中国主要的红色植物染料。明代《天工开物》中有关于苏枋染色的方法。宋人贾似道有诗称“钳更细长苏木色，此虫名号是虾青”。</t>
    </r>
    <r>
      <rPr>
        <sz val="11"/>
        <color theme="0" tint="-0.499984740745262"/>
        <rFont val="方正粗黑宋简体"/>
        <charset val="134"/>
      </rPr>
      <t>日本的传统色亦有苏芳,且有深浅色目，其实苏方是从印尼传入中国的染料。又名苏枋、苏芳、苏木，印尼语音译,其字面意义是红色的树木,源自印尼输入中国的红色染料。苏木切成细碎木条，煮水浸泡就可以成为染缸的染料。顾况《上古之什补亡训传十三章》曰“苏方之赤,在胡之舶,其利乃博”。雷敦《雷公炮炙论》载“(苏方木)若有中心文横如紫角者，号曰木中尊色,其力倍常百等”。戏谑如崔涯《嘲妓》“虽得苏方木,犹贪玳瑁皮”。苏方木、玳瑁皮都是番货。李时珍《本草纲目》曰“海岛有苏枋国,其地产此木,故名;今人省呼为苏木”。</t>
    </r>
  </si>
  <si>
    <t>冥色</t>
  </si>
  <si>
    <t>《吕氏春秋·辩土》曰“垆埴冥色,刚土柔种”。冥色,当是色暗的意思。我们现在经常说“冥冥之中”，其实最早是在讲颜色，晦暗不清的具象生出非人力所能为的意象。</t>
  </si>
  <si>
    <t>燕羽灰</t>
  </si>
  <si>
    <t>战舰灰</t>
  </si>
  <si>
    <t>碧螺春绿</t>
  </si>
  <si>
    <t>蟹壳灰</t>
  </si>
  <si>
    <t>霁红</t>
  </si>
  <si>
    <t>景德镇的说法,这种颜色的瓷器是“千窑一宝”，也就是上百炉的窑火中，才能得到一两件霁红，所谓名瓷之首。又名祭红、积红,绝品之釉色。《南窑笔记》载“(青花之外)又有霁红、霁青、甜白三种,尤为上品”。项元汴《历代名瓷图谱》载“祭红,其色艳若朱霞,真万代名瓷之首冠也”。清代瓷学大家陈浏在《陶雅》中说:“宣德祭红,色勺而釉厚,光采动人。底足之釉,垂垂如漆,所谓大红宝石釉者也。”霁红的颜色如同大红宝石,浑厚而沉郁。清代文人龚轼的《景德镇陶歌》中咏:“官古窑成重霁红,最难全美费良工。霜天晴昼精心合,一样搏烧百不同。”他还注解说:“霁红亦名祭红,有两种,一鲜红,一宝石红。” 霁红从诞生，就成为世间珍品,清代景德镇督窑郎廷极恢复霁红,霁红历经康、雍、乾三代而发扬光大。</t>
  </si>
  <si>
    <t>淡土黄</t>
  </si>
  <si>
    <t>粽叶绿</t>
  </si>
  <si>
    <t>灰绿</t>
  </si>
  <si>
    <t>伽罗</t>
  </si>
  <si>
    <r>
      <rPr>
        <sz val="11"/>
        <color theme="1"/>
        <rFont val="方正粗黑宋简体"/>
        <charset val="134"/>
      </rPr>
      <t>其色出自黑沉香,亦称多伽罗、伽南、伽蓝,奇南。颜博文《颜氏香史序》日“焚香之法,不见于三代。汉唐衣冠之儒，稍稍用之，然返瑰,飞气,出于道家；旃檀、伽罗。盛于缁庐”。释善住《谷响集》日“伽罗翻黑,经所谓黑沉香是矣。盖昔蛮商传天竺语耶，今名奇南香也”。中日的传统色都记录了这个颜色。光绪年间《崖州志》载:“伽</t>
    </r>
    <r>
      <rPr>
        <sz val="11"/>
        <color theme="1"/>
        <rFont val="Microsoft YaHei UI"/>
        <charset val="134"/>
      </rPr>
      <t>㑲，杂出于海上诸山。凡香木之枝柯窍露者</t>
    </r>
    <r>
      <rPr>
        <sz val="11"/>
        <color theme="1"/>
        <rFont val="方正粗黑宋简体"/>
        <charset val="134"/>
      </rPr>
      <t>,木立死而本存者，气性皆温，故为大蚁所穴。大蚁所食石蜜，遗渍香中，岁久渐浸，木受石蜜，气多凝而坚润，则伽南成。”伽罗是蜜渍香木，日久而成。“伽倘本与沉香同类而分阴阳。或谓沉,牝也。味苦而性利,其香含藏，烧乃芳烈，阴体阳用也。伽倘，牡也。味辛而气甜,其香勃发，而性能闭二便，阳体阴用也。”沉香是雌,属于阴，适合男性;伽</t>
    </r>
    <r>
      <rPr>
        <sz val="11"/>
        <color theme="1"/>
        <rFont val="Microsoft YaHei UI"/>
        <charset val="134"/>
      </rPr>
      <t>㑲是雄</t>
    </r>
    <r>
      <rPr>
        <sz val="11"/>
        <color theme="1"/>
        <rFont val="方正粗黑宋简体"/>
        <charset val="134"/>
      </rPr>
      <t>,属于阳,适合女性。 伽罗的颜色是分级的:上等伽罗(伽</t>
    </r>
    <r>
      <rPr>
        <sz val="11"/>
        <color theme="1"/>
        <rFont val="Microsoft YaHei UI"/>
        <charset val="134"/>
      </rPr>
      <t>㑲）称绿结</t>
    </r>
    <r>
      <rPr>
        <sz val="11"/>
        <color theme="1"/>
        <rFont val="方正粗黑宋简体"/>
        <charset val="134"/>
      </rPr>
      <t>,鸭头绿色;次等称兰花结，木性大于油性,微绿而黑;又次等称虎斑金丝结，油性大于木性,微黄色;再次等称糖结,满油,纯黄色;下等称铁结,黑色。</t>
    </r>
  </si>
  <si>
    <t>莱阳梨黄</t>
  </si>
  <si>
    <t>岩石棕</t>
  </si>
  <si>
    <t>烟墨</t>
  </si>
  <si>
    <t>中国画传统颜料色，亦称烟煤、烟炱，以松烟或桐烟等调胶制成的墨,中国画传统颜料色。王槩《芥子园画传》曰“烟煤惟画鸟兽人物毛发用之，将油灯上支碗虚覆半时,俟其烟头熏结,扫下入胶研。用胶不可多，多则光亮,钩墨不显。虫鸟中……白鹤之裳,蛱蝶之翅,先浓淡染出以浓墨丝其细毛,钩其大翅,则烟煤色暗,墨色光亮悉见矣”。按传统技法,墨分五色:焦、浓、重、淡、清。</t>
  </si>
  <si>
    <t>蜴蜊绿</t>
  </si>
  <si>
    <t>鲸鱼灰</t>
  </si>
  <si>
    <t>紫鼠</t>
  </si>
  <si>
    <t>其颜色考据自我国北方的紫貂毛皮色,直到现在它也很贵重。考证紫鼠其色，或为貂鼠之紫黑皮色。</t>
  </si>
  <si>
    <t>緅絺</t>
  </si>
  <si>
    <r>
      <rPr>
        <sz val="11"/>
        <color theme="1"/>
        <rFont val="宋体"/>
        <charset val="134"/>
      </rPr>
      <t>緅</t>
    </r>
    <r>
      <rPr>
        <sz val="11"/>
        <color theme="1"/>
        <rFont val="方正粗黑宋简体"/>
        <charset val="134"/>
      </rPr>
      <t>是很重要的基本传统色，</t>
    </r>
    <r>
      <rPr>
        <sz val="11"/>
        <color theme="1"/>
        <rFont val="宋体"/>
        <charset val="134"/>
      </rPr>
      <t>絺</t>
    </r>
    <r>
      <rPr>
        <sz val="11"/>
        <color theme="1"/>
        <rFont val="方正粗黑宋简体"/>
        <charset val="134"/>
      </rPr>
      <t>是细葛布，由于染色五入而得</t>
    </r>
    <r>
      <rPr>
        <sz val="11"/>
        <color theme="1"/>
        <rFont val="宋体"/>
        <charset val="134"/>
      </rPr>
      <t>緅</t>
    </r>
    <r>
      <rPr>
        <sz val="11"/>
        <color theme="1"/>
        <rFont val="方正粗黑宋简体"/>
        <charset val="134"/>
      </rPr>
      <t>，得之不易，孔子不主张衣服边料用这个颜色。许慎《说文解字，系部》日“緅，帛青赤色也”，又云“絺，细葛也”。方以智《通雅，衣服，彩 色》日“緅是今之酱色也”。 緅絺，就是酱色细葛布。</t>
    </r>
  </si>
  <si>
    <t>朱石栗</t>
  </si>
  <si>
    <t>石栗树又名黑桐油树,石栗子产生干性油可做油漆和绘画颜料。石栗子可做油漆和绘画颇料,唐代壁画常用此色颜料。刘恂《岭表录异》载“广州无粟,惟勤州山中有石栗,一年方熟,皮厚而肉少,味似胡桃仁。熟时,或为群鹦鹉啄食略尽，只此石栗亦甚稀少”。</t>
  </si>
  <si>
    <t>棕绿</t>
  </si>
  <si>
    <t>棕绿：绿中泛棕色的一种颜色。</t>
  </si>
  <si>
    <t>墨黪</t>
  </si>
  <si>
    <t>禅僧多着墨黪衣,为谦卑故。又曰黪墨。顾野王《玉篇》曰“今谓物将败时,颜色黪也”。释道诚《释氏要览》曰“禅僧多着墨黪衣，若深色者，可是律中皂黑衣摄,缘用墨靛，与杂泥不远故”，又曰“但染苍皱之色，稍异于常尔。有人呼墨黪衣为衰服,盖昧之也”。</t>
  </si>
  <si>
    <t>椒褐</t>
  </si>
  <si>
    <t>褐色很有生活气息，褐色系的色名里茶香藕脆,驼走鹰飞，还有葡萄、麻椒和荆艾。《居家必用事类全集》云“染椒褐，以绢十两为率。苏木四两锉研碎,橡斗一两研碎，白矾二两,绿矾半两。与前染小红法同。其绿矶看颜色深浅用,不可多用，亦不可少，务要得中。绿矾别用冷水化开,将染出物扭干抖开, 捺入绿矾水内，看色加之”。</t>
  </si>
  <si>
    <t>黧</t>
  </si>
  <si>
    <r>
      <rPr>
        <sz val="11"/>
        <color theme="1"/>
        <rFont val="方正粗黑宋简体"/>
        <charset val="134"/>
      </rPr>
      <t>黑中带黄的颜色，也写作“黎”。南宋陆游有《夙兴》诗，其中有“翠碧停阑角,黧黄语柳阴”，黧黄指黄鹂鸟。黧亦可指肤色，“黧老”代指老人。</t>
    </r>
    <r>
      <rPr>
        <sz val="11"/>
        <color theme="0" tint="-0.499984740745262"/>
        <rFont val="方正粗黑宋简体"/>
        <charset val="134"/>
      </rPr>
      <t>黧：黑中带黄的颜色</t>
    </r>
  </si>
  <si>
    <t>麝香褐</t>
  </si>
  <si>
    <t>当具象在生活中的活跃度减弱，或者被更新更活跃的具象替代,细分色就成为文化遗产。陶宗仪《南村辍耕录·采绘法》云 “麝香褐,用土黄、檀子入烟墨合”。</t>
  </si>
  <si>
    <t>玳瑁</t>
  </si>
  <si>
    <r>
      <rPr>
        <sz val="11"/>
        <color theme="1"/>
        <rFont val="方正粗黑宋简体"/>
        <charset val="134"/>
      </rPr>
      <t>在传统文化与色彩观中，色泽如泥泞般带混浊感的褐、棕色系，一向被视为阶级卑微与低下的象征;唯有玳瑁甲壳的黄褐色，却被当作高贵、华丽与典雅的代名词，而且风行甚久，至今已有2000多年的历史。玳瑁又称</t>
    </r>
    <r>
      <rPr>
        <sz val="11"/>
        <color theme="1"/>
        <rFont val="宋体"/>
        <charset val="134"/>
      </rPr>
      <t>瑇</t>
    </r>
    <r>
      <rPr>
        <sz val="11"/>
        <color theme="1"/>
        <rFont val="方正粗黑宋简体"/>
        <charset val="134"/>
      </rPr>
      <t>瑁、龟甲，是一种生长于热带或亚热带海洋中、外形似海龟的肉食爬行动物。玳瑁的背壳属大型角质板，呈覆瓦状排列，色泽黄褐中带黑斑点，具有蜡质光泽。在世界各古文化中都有使用玳瑁制作工艺品的记载。在古希腊、古罗马及古印度，玳瑁的甲壳会被用来制造首饰、戒指、扇子与弦乐器拨子等饰物及用具。我国最早以玳瑁做精致首饰的记载，可见于司马迁的《史记·春申君列传》中:“赵平原君使人于春申君，春申君舍之于上舍。赵使欲夸楚，为玳瑁簪、刀剑室以珠玉饰之，请命春申君客。春申君客3000余人，其上客皆蹑珠履以见赵使，赵使大惭。”内容是说赵国平原君（赵胜，赵武灵王之子)差遣使臣出访楚国时，使者为了向春申君(黄歇）炫耀，特意头插精美的玳瑁簪，腰间挂上镶有珠玉的佩剑出使，结果发现春申君的3000食客中，上等食客全都脚穿镶有珍珠的鞋子迎接来宾，赵使遂羞愧不已。这则故事说明早在战国时期，玳瑁就已普遍作为高级饰品使用，而且也用作男士的发饰。
黄褐色的玳瑁甲片除制成高级精致的发簪外，亦会以细工做成名贵的梳子。梳子古称篦或栉，原为理顺乱发的工具，但在唐宋时期，妇女们却流行把梳子插在发髻间当作一种头饰，这种装饰风气还传播到东瀛。而以黄褐色玳瑁甲片做的梳子，其油清亮丽的质感散发出不同的神韵与光彩，就特别受到贵妇的钟爱，结果硬把用犀牛角及象牙做的梳子比下去。在唐代画家张萱的《捣练图》中，正忙于捣丝的众妇人，头上均插着呈斑驳的淡黄色梳子，可能就是有名的玳瑁篦。
归属于宝石类的玳瑁甲片，曾经当作钱币使用。玳瑁甲壳也用作琴瑟和琵琶乐器的花纹装饰。在古代建筑中又有一种彩绘梁柱称为“玳瑁梁”，是因装修画师把仿效玳瑁的黄褐色带斑点的特色画在梁木上而得名。用作书法及绘画作品装饰的滚动条称“玳瑁轴”，以玳瑁装配的窗框称“玳瑁窗”，都是表示贵重之意。此外，用玳瑁甲片镶嵌装饰的桌椅以待客的豪门宴称作“玳宴”，如“因此上开玳燕,列珍馐”(明朝陈所闻《步步娇·冬夜歌舞佐酒》)。玳瑁甲壳的黄褐色，成为美丽、文雅、宝贵与奢华的代表。</t>
    </r>
  </si>
  <si>
    <t>芒果棕</t>
  </si>
  <si>
    <t>石板灰</t>
  </si>
  <si>
    <t>珠母灰</t>
  </si>
  <si>
    <t>淡豆沙</t>
  </si>
  <si>
    <t>橡树棕</t>
  </si>
  <si>
    <t>油葫芦</t>
  </si>
  <si>
    <r>
      <rPr>
        <sz val="11"/>
        <color theme="1"/>
        <rFont val="方正粗黑宋简体"/>
        <charset val="134"/>
      </rPr>
      <t>其颜色考据自我国分布广泛的小</t>
    </r>
    <r>
      <rPr>
        <sz val="11"/>
        <color theme="1"/>
        <rFont val="宋体"/>
        <charset val="134"/>
      </rPr>
      <t>鸊鷉</t>
    </r>
    <r>
      <rPr>
        <sz val="11"/>
        <color theme="1"/>
        <rFont val="方正粗黑宋简体"/>
        <charset val="134"/>
      </rPr>
      <t>，取其背部毛羽色,载于《清宫鸟谱》。亦称鸊鷉,油葫芦为其俗称。油者言其肥,葫芦者言其泛泛水中也。《清宫鸟谱》载“油葫芦,黑晴浅黄晕,青黑嘴,吻根黄。头、项、背、翅皆苍褐色”。</t>
    </r>
  </si>
  <si>
    <t>苍艾</t>
  </si>
  <si>
    <t>艾蒿既老之色。《诗经·郑风·出其东门》曰“缟衣綦巾，聊乐我员”。毛传“编衣，白色,男服也。綦巾,苍艾色,女服也”。许慎《说文解字》曰“綦，苍艾色也”。《尚书·周书·顾命》曰“四人綦升，执戈上刃”。孔传“綦，文鹿子皮弁”。郑玄云“青黑曰綦”。</t>
  </si>
  <si>
    <t>椰壳棕</t>
  </si>
  <si>
    <t>棕红</t>
  </si>
  <si>
    <t>棕红：红褐色。</t>
  </si>
  <si>
    <t>素綦</t>
  </si>
  <si>
    <t>綦是黑绿色，出处是这种颜色的鹿皮。语出公孙诡《文鹿赋》日“质如缃缛,文如素綦”。素綦，本指青黑色的鹿的皮毛,引为青黑色。</t>
  </si>
  <si>
    <t>黄昏灰</t>
  </si>
  <si>
    <t>潭水绿</t>
  </si>
  <si>
    <t>瓦罐灰</t>
  </si>
  <si>
    <t>淡铁灰</t>
  </si>
  <si>
    <t>火岩棕</t>
  </si>
  <si>
    <t>驼色</t>
  </si>
  <si>
    <t>168,132,98</t>
  </si>
  <si>
    <t>驼色：一种比哢叽色稍红而微淡、比肉桂色黄而稍淡和比核桃棕
色黄而暗的浅黄棕色。</t>
  </si>
  <si>
    <t>霁蓝</t>
  </si>
  <si>
    <t>我们说东方的色是青,五正色的青到底是什么颜色，天坛圆丘的顶就是这个青,圜丘的用瓷也是青色,霁蓝是青色瓷中的佼佼者。亦称霁青、祭蓝,色泽深厚,蓝如深海。《大明会典·器用》载“(嘉靖)九年,定四郊各陵瓷器。圜丘青色,方丘黄色，日坛赤色,月坛白色”。《南窑笔记》载“(青花之外)又有霁红、霁青、甜白三种，尤为上品”。蓝浦《景德镇陶录》载“霁青器,亦官吉户兼仿造镇陶,无专作霁青器者,得其精美,可推上品,俗与好霁红并重,今讹作济青”。</t>
  </si>
  <si>
    <t>蜜褐</t>
  </si>
  <si>
    <t>蜜褐色并非当下才有的流行色,明代已有之。说到这里,不知道为什么操心起染发的问题,如果跟发型师商议就染这个蜜褐色，可能得猜猜染完到底是什么颜色,发型师的蜜褐是谜之色。</t>
  </si>
  <si>
    <t>褐色</t>
  </si>
  <si>
    <t>110，81，30</t>
  </si>
  <si>
    <r>
      <rPr>
        <sz val="11"/>
        <color theme="1"/>
        <rFont val="方正粗黑宋简体"/>
        <charset val="134"/>
      </rPr>
      <t>褐色为黄、红与黑三色的调和色，又称棕色，在传统五正色观中属间色，色感沉实低调不亮眼，是中华色彩系列中广泛流传且历史悠久的色调之一，为古时下层社会寒贱之民的衣着代表色。
褐原指动物褐兔的毛色，唐代李肇《唐国史补》下卷有云:“宣州以兔毛为褐,亚于锦绮，复有染丝织者尤妙，故时人以为兔褐真不如假也。”褐又是颜色名词，可指衣锦或其他物品的一种颜色。北宋诗人黄庭坚《煎茶赋》曰:“亦可酌兔褐之瓯，瀹鱼眼之鼎者也。”诗中的兔褐之瓯（音讴)指褐色的小盆或瓦器，瀹是煮的意思，鱼眼指从沸水中冒出的气泡。
褐亦指比布衣低一等、用棕色物料或粗麻制成的粗劣织物，即指上古先民以兽毛或麻纤维为材料，经捻成线后所纺编成的遮体衣物。兽毛织品虽然毛绒短粗，但质地厚重，具有御寒功能，所以用作御寒的冬衣;而用粗麻织造的衣物则称褐衣、褐衫或粗布衣。又因毛褐多为贫者穿用，因而成为贫穷卑贱的人的代称。《诗经·豳风》曰:“无衣无褐，何以卒岁。”意思是说褐衣是贫民及农民过冬御寒的最低要求，否则如何过日子啊!《左传·哀公十三年》载有“旨酒一盛兮，余与褐之父睨之”，即穿褐衣者会被人睨视瞧不起。成语“褐衣蔬食”说得更清楚，是说穿的是粗布衣服、吃的是粗糙食物，即形容生活艰苦困难。
推崇礼教的儒家重视服饰美，穿着要有文采（即错杂艳丽的色彩)，并佩带玉玦，因玉器色泽光润，扣之声音清扬，是君子人格美的象征，所以在儒家看来，穿褐是无“文”的人。而儒家建立的儒服制度却受到墨家及道家的非难。墨家看重服饰的实用意义，对凡是“非为身体，皆为观好”（即只是外表好看的服饰美），皆持全盘否定的态度，所以《墨子》有“衣必常暖，然后求丽”的实用主张。道家亦强调质，重视内涵与内在美，同时要求去除纹饰，反对形而上的繁文缛节，于是道家学派的代表人物庄子会穿着带补丁的粗布衣与破鞋度日。老子亦提出“圣人被褐而怀玉”(《道德经》第七十章)的观点，认为怀玉只是美德的象征，意思是只要内在有道德之长，就算只披着粗衣麻布，一样可以成为圣人。而“被褐怀玉”亦可视为道家对褐色服饰的审美观与做人的标准。
元朝民间倾向用各种深浅褐色为衣物色。到了明代，褐色是劳动阶层必须穿着的服色。粗布制的短褐（短衣)又是古代游侠的惯常装束。巾褐则是用来借喻未中进士的秀才。而以粗布编造、披盖马身用的马衣叫马褐，像唐人王起《被褐怀玉赋》中写有“马褐同色”的文句。总的来说，褐色在古时的社会地位从来就是偏低;唯有可制饰品的玳瑁，其甲壳色是历来最贵重的褐色。
褐色是皮革的颜色，又是木制家具与日用器皿工具中的实用颜色。民生食品中的酱油、浙醋及芝麻油都是带有提味香气的棕色。褐色又是国画的用色之一，色调有深淡冷暖之分，偏红的褐色传统称为丁香褐:“丁香褐，用肉红(色)为主，入少槐花合(调)。”(明朝陶宗仪《辍耕录》)偏冷调带青的褐色称为艾褐色，色彩是这样调和的:“艾褐,用（白）粉入槐花，螺青，土黄，檀子合(调)。”（出处同上)檀子为颜色名，是以墨混合燕支赭石合成。</t>
    </r>
    <r>
      <rPr>
        <sz val="11"/>
        <color theme="0" tint="-0.499984740745262"/>
        <rFont val="方正粗黑宋简体"/>
        <charset val="134"/>
      </rPr>
      <t>褐色： 黄黑色</t>
    </r>
  </si>
  <si>
    <t>中灰驼</t>
  </si>
  <si>
    <t>绿云</t>
  </si>
  <si>
    <t xml:space="preserve">绿如墨,发如云,女子沐发油光水滑见此色。“绿云扰扰,梳晓鬟也”是《阿房官赋》还记 得住的为数不多的场景。 </t>
  </si>
  <si>
    <t>灰黑</t>
  </si>
  <si>
    <t>灰,东汉许慎《说文解字》解释为“死火余烬也”。灰黑,灰中带黑之色，比黪色要偏黑。</t>
  </si>
  <si>
    <t>玄青</t>
  </si>
  <si>
    <t>玄青：深黑色</t>
  </si>
  <si>
    <t>棕黑</t>
  </si>
  <si>
    <t>棕黑：深棕色</t>
  </si>
  <si>
    <t>橄榄绿</t>
  </si>
  <si>
    <t>暮云灰</t>
  </si>
  <si>
    <t>丁香棕</t>
  </si>
  <si>
    <t>驖骊</t>
  </si>
  <si>
    <r>
      <rPr>
        <sz val="11"/>
        <color theme="1"/>
        <rFont val="宋体"/>
        <charset val="134"/>
      </rPr>
      <t>驖</t>
    </r>
    <r>
      <rPr>
        <sz val="11"/>
        <color theme="1"/>
        <rFont val="方正粗黑宋简体"/>
        <charset val="134"/>
      </rPr>
      <t>和骊是一个意思,指马黑如铁,《诗经》里讲秦襄公出猎是“驷</t>
    </r>
    <r>
      <rPr>
        <sz val="11"/>
        <color theme="1"/>
        <rFont val="宋体"/>
        <charset val="134"/>
      </rPr>
      <t>驖</t>
    </r>
    <r>
      <rPr>
        <sz val="11"/>
        <color theme="1"/>
        <rFont val="方正粗黑宋简体"/>
        <charset val="134"/>
      </rPr>
      <t>孔阜”，四匹黑色骏马的排场。《礼记·檀弓》曰“夏后氏尚黑……戎事乘骊，牲用玄”。</t>
    </r>
  </si>
  <si>
    <t>赭石</t>
  </si>
  <si>
    <t>松鼠灰</t>
  </si>
  <si>
    <t>鹤灰</t>
  </si>
  <si>
    <t>淡栗棕</t>
  </si>
  <si>
    <t>淡松烟</t>
  </si>
  <si>
    <t>咖啡</t>
  </si>
  <si>
    <t>茶褐</t>
  </si>
  <si>
    <t>橄榄灰</t>
  </si>
  <si>
    <t>枣褐</t>
  </si>
  <si>
    <t>宋元的褐色细分中,这是为数不多流传至今的色名。《元史·舆服志》曰“（天子质孙）夏之服凡十有五等……服大红、绿、蓝、银褐、枣褐、金绣龙五色罗，则冠金凤顶笠,各随其服之色”，又“(百官质孙）夏之服凡十有四等,素纳石失一,聚线宝里纳石失一,枣褐浑金间丝蛤珠一,大红官素带宝里一，大红明珠答子一，桃红、蓝、绿、银褐各一,高丽鸦青云袖罗一，驼褐、茜红、白毛子各一，鸦青官素带宝里一”。《居家必用事类全集》云“染枣褐，以十两帛为率。苏木四两,明矾一两为细。用碗熬色，染法皆与小红一体。至下了头汁时,扭起,将汁煨热。下绿矾不可多了,当旋旋看颜色深浅却加。多则黑，少则红,务要得中”。</t>
  </si>
  <si>
    <t>棕榈绿</t>
  </si>
  <si>
    <t>暗海水绿</t>
  </si>
  <si>
    <t>筍皮棕</t>
  </si>
  <si>
    <t>紫砂</t>
  </si>
  <si>
    <t>紫砂色属矿土颜色，专指使用产自江苏宜兴地区、泥巴呈紫红色的陶土所烧出的茶具的外观色泽，为固有色名。紫砂色是自北宋时期开始，茶人雅士品茶追求闲情逸致之余，可供鉴玩目赏的颜色。紫砂色又是象征风雅、涵养以及具有高尚品味的色调。因紫砂泥主要产自江苏省宜兴市丁蜀镇龙山一带,故又称宜兴紫砂，成矿年代约在三亿五干万年前的古生代泥盆系时期，陶土成分由石英、黏土和含有铜的云母片以及赤铁矿组成，因属于稀有土质，故又俗称为价值连城的“富贵土”。若在泥料中加入适量的金属氧化着色剂，无添加任何釉料的陶具会烧制出呈现如肝紫、枣红、紫棠、紫云或铁灰铅等不同色泽的紫色。
对于紫砂茶器的起源至今仍认为始于北宋年间。1976年7月宜兴羊角山紫砂古窑的发现，印证了这个论点。同时北宋文人也留下有关描写紫砂的记录，例如儒学家欧阳修有“喜共紫瓯饮且酌，羡君潇洒有余清”的咏句;同期的北宋诗人梅尧臣也有“紫泥新品泛春华”的佳言流传。色泽恬闲养目的紫砂壶是典型“文人茶器”———强调古拙的造型风格，可供捧赏品评，质地细致光润犹若婴儿肌肤的壶身可随意摩掌把玩，而隽永独有的紫砂壶色则适宜目赏评鉴，让茶人茗客赞叹不已。爱大啖肥肉的北宋大文学家苏轼，也因同时钟情于山水、茗茶与紫砂陶，曾在宜兴蜀山(原名独山)脚下买地建“东坡书院”，打算作为退隐之所。据信他还亲自设计了一款提梁紫砂茶壶，壶身刻有“松风竹炉，提壶相呼”的字句。
我国的茶文化因紫砂艺品而提升到一个精湛的陶艺层次与艺术鉴赏的境界，而紫砂色流传至今仍然是具有悠逸、珍藏、昂贵与清福含义的色彩。</t>
  </si>
  <si>
    <t>皂色</t>
  </si>
  <si>
    <r>
      <rPr>
        <sz val="11"/>
        <color theme="1"/>
        <rFont val="方正粗黑宋简体"/>
        <charset val="134"/>
      </rPr>
      <t>泛浓紫的黑色，也作“</t>
    </r>
    <r>
      <rPr>
        <sz val="11"/>
        <color theme="1"/>
        <rFont val="宋体"/>
        <charset val="134"/>
      </rPr>
      <t>皁</t>
    </r>
    <r>
      <rPr>
        <sz val="11"/>
        <color theme="1"/>
        <rFont val="方正粗黑宋简体"/>
        <charset val="134"/>
      </rPr>
      <t>”。东汉《释名》：</t>
    </r>
    <r>
      <rPr>
        <sz val="11"/>
        <color theme="1"/>
        <rFont val="宋体"/>
        <charset val="134"/>
      </rPr>
      <t>皁</t>
    </r>
    <r>
      <rPr>
        <sz val="11"/>
        <color theme="1"/>
        <rFont val="方正粗黑宋简体"/>
        <charset val="134"/>
      </rPr>
      <t>，早也，日未出时早期，视物皆黑，此色如之也。皂色浓重威严，江淹以“皂盖”代指高官显贵。明代，皂色为杂役服色，称“皂吏”。</t>
    </r>
    <r>
      <rPr>
        <sz val="11"/>
        <color theme="1" tint="0.349986266670736"/>
        <rFont val="方正粗黑宋简体"/>
        <charset val="134"/>
      </rPr>
      <t>汉语皂字又写作“</t>
    </r>
    <r>
      <rPr>
        <sz val="11"/>
        <color theme="1" tint="0.349986266670736"/>
        <rFont val="宋体"/>
        <charset val="134"/>
      </rPr>
      <t>皁</t>
    </r>
    <r>
      <rPr>
        <sz val="11"/>
        <color theme="1" tint="0.349986266670736"/>
        <rFont val="方正粗黑宋简体"/>
        <charset val="134"/>
      </rPr>
      <t>”，古通“早”字，原指早上破晓之前的天色，《释名》曰:“</t>
    </r>
    <r>
      <rPr>
        <sz val="11"/>
        <color theme="1" tint="0.349986266670736"/>
        <rFont val="宋体"/>
        <charset val="134"/>
      </rPr>
      <t>皁</t>
    </r>
    <r>
      <rPr>
        <sz val="11"/>
        <color theme="1" tint="0.349986266670736"/>
        <rFont val="方正粗黑宋简体"/>
        <charset val="134"/>
      </rPr>
      <t>，早也,日未出时早起,视物皆黑，此色如之也。”即皂是形容大自然光景的颜色名词，色调为泛现浓紫的黑色。
皂色又指布帛经人工漂染后的灰黑色，古人以植物栎树（即橡树，栎是秦人的称谓）的果实橡斗加入含铁质的皂矾(又称绿矾，主要成分为硫酸亚铁）做催媒剂染成。以栎树的果实橡斗染成的皂黑色衣物，在古代是极为普遍的服色之一，但皂色衣饰在不同的朝代所代表的社会地位各异。秦汉两代朝臣官位品第的区别在于各种不同的冠式即冠礼，其中皂黑色的委貌冠，为公卿诸侯大夫在行大射礼时所戴的祭仪冠饰，用以代表身份与显赫地位。皂色在汉代是象征严肃与端庄的颜色，是汉朝后妃谒庙时所穿的祭服色。唐初时，皂黑是军中将士的制服色。宋元两代服饰等级制定严明，皂衫是平民的穿衣着色。到了明朝，皂色为管理囚犯的狱卒及杂役的服色，故又称衙役为皂役，又称追缉犯人的差役为皂快。而皂人是指养马的下吏，皂色多属下等人的衣着色彩。
皂色又泛指其他黑色的衣物颜色，例如皂靴是形容黑色的皮靴。皂靴古称“络鞮”，原为北方游牧民族策马时所穿的马靴，因靴子都用染黑后的皮料制成，所以称为皂靴。胡人所穿的马靴，是在公元前4世纪战国时期的赵国武灵王因推行胡服骑射，而引入中原，并全面盛行于隋唐时代。而传自印度的佛教自汉化以后，皂黑色也成为僧众服色之一,佛门的法服衣色规定一直沿用至今。皂白是指黑白两色，也喻为是非曲直之意;成语“青红皂白”原指多种不同的颜色，后来也广被世人用以比喻事情的对错情由。
皂又指一种可洗涤衣物用的碱性物质。古人从皂荚树（又称“皂角树”)的刀荚形果实中榨取汁液，以洗衣涤垢，因这种落叶乔木类的树木夏天长出的绿色果实，秋后就变成黑色，而黑色又称为皂色,故称肥皂,其名称一直沿用至今,未曾改变。</t>
    </r>
  </si>
  <si>
    <t>目童子</t>
  </si>
  <si>
    <t>目童子，瞳仁。中国人的瞳孔颜色，我们人种的典型特征。</t>
  </si>
  <si>
    <t>柞叶棕</t>
  </si>
  <si>
    <t>海报灰</t>
  </si>
  <si>
    <t>蟹壳绿</t>
  </si>
  <si>
    <t>古铜褐</t>
  </si>
  <si>
    <t>可可棕</t>
  </si>
  <si>
    <t>缁色</t>
  </si>
  <si>
    <r>
      <rPr>
        <sz val="11"/>
        <color theme="1"/>
        <rFont val="方正粗黑宋简体"/>
        <charset val="134"/>
      </rPr>
      <t>帛黑色，原指黑色的丝。汉代以“缁衣”为卿士听朝之正服。东晋僧人皆穿缁色僧服，唐代《舆服志》也记载了诸多缁布冠、缁衣的色彩规范。宋代陆游有诗：“素衣虽成缁，不为京路尘。”</t>
    </r>
    <r>
      <rPr>
        <sz val="11"/>
        <color theme="0" tint="-0.499984740745262"/>
        <rFont val="方正粗黑宋简体"/>
        <charset val="134"/>
      </rPr>
      <t>缁色：帛黑色</t>
    </r>
  </si>
  <si>
    <t>古铜绿</t>
  </si>
  <si>
    <t>焦茶绿</t>
  </si>
  <si>
    <t>斑鸠灰</t>
  </si>
  <si>
    <t>栗色</t>
  </si>
  <si>
    <t>栗色：栗壳的颜色。即紫黑色。</t>
  </si>
  <si>
    <r>
      <rPr>
        <sz val="11"/>
        <color theme="1"/>
        <rFont val="宋体"/>
        <charset val="134"/>
      </rPr>
      <t>璆</t>
    </r>
    <r>
      <rPr>
        <sz val="11"/>
        <color theme="1"/>
        <rFont val="方正粗黑宋简体"/>
        <charset val="134"/>
      </rPr>
      <t>琳</t>
    </r>
  </si>
  <si>
    <r>
      <rPr>
        <sz val="11"/>
        <color theme="1"/>
        <rFont val="方正粗黑宋简体"/>
        <charset val="134"/>
      </rPr>
      <t>青金石的古称。丝绸之路的前身也称青金石之路，</t>
    </r>
    <r>
      <rPr>
        <sz val="11"/>
        <color theme="1"/>
        <rFont val="宋体"/>
        <charset val="134"/>
      </rPr>
      <t>璆</t>
    </r>
    <r>
      <rPr>
        <sz val="11"/>
        <color theme="1"/>
        <rFont val="方正粗黑宋简体"/>
        <charset val="134"/>
      </rPr>
      <t>琳就是青金石,其色相如天，故深受历代帝王喜爱，清朝帝王去天坛就要佩戴这个颜色的朝珠。地质学家章鸿钊写过一部旷世奇作《石雅》，遍考古籍中金石物产的名称，试图梳理出它们到底是什么东西，这本书的开篇第一节就是璆琳。按照章鸿钊的说法，璆琳与波斯语、阿拉伯语、梵文、印度语中青金石的发音很相近，譬如梵文的青金石用中文发音就是吠琉璃,与璆琳近似。 唐代僧人释玄应、释慧琳所编的翻译词典《一切经音义》里面说:“琉璃，吠琉璃也……从山为名，谓远山宝也。远山即须弥山也。此宝青色。”宝青色的色名就是从这里来的,宝青色的青金石,不含金星或者带有漂亮金星均是上品,这是晴朗夜空的颜色。 与璆琳一样,据说瑾瑜、金精、青黛都是青金石的古称。青金石的宝贵，就在于“色相如天”,所以天坛的顶部就是青金石色，清代皇帝去天坛祭天也要佩戴青金石的朝珠。所谓青色,正宗的本源就是这种颜色。 顺便说一下昆仑墟的另一种宝贝——琅玕，章鸿钊认为是绿松石，在夏代是流行的高档饰品。</t>
    </r>
  </si>
  <si>
    <t>沙鱼灰</t>
  </si>
  <si>
    <t>蒽油绿</t>
  </si>
  <si>
    <t>河豚灰</t>
  </si>
  <si>
    <t>暗驼棕</t>
  </si>
  <si>
    <t>长石灰</t>
  </si>
  <si>
    <t>青灰</t>
  </si>
  <si>
    <r>
      <rPr>
        <sz val="11"/>
        <color theme="1"/>
        <rFont val="方正粗黑宋简体"/>
        <charset val="134"/>
      </rPr>
      <t>灰中带青色，为原始陶器的颜色,又是历代传统建筑的建材色。秦代青灰砖质地坚硬，有“铅砖”之称。青灰色也是传统服色，清代文人流行穿此色长袍。</t>
    </r>
    <r>
      <rPr>
        <sz val="11"/>
        <color theme="1" tint="0.349986266670736"/>
        <rFont val="方正粗黑宋简体"/>
        <charset val="134"/>
      </rPr>
      <t>青灰色为华夏原始陶器的颜色，又是历代传统建筑的建材色和古瓷器皿中常用的釉色;色泽灰白中略微透青，属于冷灰色调;色感稳重朴拙无华，也是象征中华文化与工艺技术不断演进的传统色彩之一。陶器的出现是新石器时代的主要特征之一，而青灰色的原始陶器是继手制夹砂粗红陶之后，大约在新石器晚期才出现，这种陶色的变化表明陶器烧成技术的进步。烧制的原理是将入窑的坯体用还原焰焙烧，火温要维持在840℃~890℃，主要是让陶胎内所含的铁还原为二价铁，使得陶胎呈现灰色。若用同样的砖瓦陶器，在开放的窑中焙烧，待冷却后取出，成品的颜色为红褐色;如果是在封闭的窑中烧制，因其烧制后期窑中氧气逐渐减少，而导致坯体中的铁还原为二价铁，铁会使制成品发色成浅淡的青灰色。前者焙烧技术称为氧化烧，后者称为还原烧。因灰陶比红陶耐用，所以从夏代起，灰陶器皿逐渐取代红陶而占有重要地位。在殷商时期，灰陶的数量已占90%以上。到了春秋时期，青灰陶又有了新发展，出现了方形以及长方形砖块，成为古代建筑的主要砖材之始。随着战国时期各国城邑日益扩充发达，用于屋顶的板瓦、筒瓦、瓦当及陶水管等建材的青灰陶制品开始大量使用。到了秦代，又发展出陶俑塑像以及耐用的砖瓦，即用于筑墙的青灰色秦砖，因质地坚硬，故又有“铅砖”之称。
秦朝建国初期政治管理清明，民俗淳朴，崇尚务实精神，反映在文学风格上即不重文采。而音乐上也只是击瓮叩缶（瓮即瓮或瓶子;缶音否，为瓦器），秦人只追求“呜呜快耳”的单纯乐音。秦代的美术工艺亦实用敦厚，器皿造型以洗练为重。秦代建筑则多用青灰色的砖瓦，反映出一种质朴的美感，也因此影响了历代城市建筑的用色风格与特色。例如长城的建材，以至今天北京城内国子监地区沿街的青灰色砖墙，都仍流露出庄严与简朴并重的秦风色彩。
瓷器约在东汉时期才出现，最早期的原始瓷的颜色就是青灰色;而所烧制出的青灰釉色,其色泽极其清淡高雅,象征着—种窑烧新产品的诞生。青灰色亦是传统的布染服色，在清代中后期嘉庆年间的文人雅士，即流行穿着青灰色长袍，以彰显文人朴雅含蓄的气质。</t>
    </r>
  </si>
  <si>
    <t>酱色</t>
  </si>
  <si>
    <t>酱色一般是指用豆类发酵制成的调味品的色泽，即黑棕色，是传统餐桌上必备的佐料食用颜色。在古时“酱”字的含义可分为肉酱、瓜果花卉调制的酸酱和调味用的豉酱三种。肉酱古称醢（音海)，古代凡将细切捣烂的鱼、虾、牛、羊、獐、鹿、兔等肉类，经用盐、醋等调味料腌制成糊状的食品，皆称作醢。以蔬果瓜类腌渍的称为酸酱，近似现代的果酱。例如《史记》记有:“枸树如桑，其椹长二三寸，味酢。取其实以为酱……独蜀出枸酱……蜀人以为珍味。”(《西南夷列传》卷一百一十六)文中的酢即酸味之意，又说枸酱出自蜀国。第三种是作为压腥或提味用的酱料，即豉酱。
“酱”字是会意字，音将，是说能克制食物之毒,如将能平暴恶之意。酱字又从酉,即“酒以和酱也”。孔老夫子说过“不得其酱不食”(《论语》)，可见酱在调味料中的重要性，因此古有“八珍主人”之称。在现代家庭中日用的酱油在旧时称豆酱，是将大豆以盐渍，曝晒成—种黑棕色的液体，实为豆汁而非油，故古书中或称酱、豆酱,宋代时称酱汁。酱色即豆酱(又叫豉酱）的颜色。
酱色亦是布料色染中的一种颜色，是游牧民族蒙古族所居住的白色蒙古包的装饰纹样配色之一。在旧时汉民的穿着中，酱色是中老年人惯穿的服色。另在京剧中，扮演皇太后或有地位身份的老夫人的老旦，所穿着的蟒袍戏服多以酱色为代表。
明清时期流行将壁纸用于居家装饰，壁纸即糊墙用的艺术加工纸，一般染成不同颜色，包括酱色，并绘以图画，或印上彩色图案。在清代文人李渔的《闲情偶寄》中，介绍了一种颇为奇异的壁纸装裱法与色彩不甚协调的选纸配搭法:先用酱色纸糊墙做底，再用手将豆绿云母笺撕成不同形状的小块贴于酱色纸上留出缝隙。李渔说，这样则“满屋皆水裂碎纹，有如哥窑美器。其块之大者亦可题诗作画，置于零星小块间”（按:哥窑为宋代名瓷窑）。
酱色陶器也是旧时民间厨房中，用以装盛油酱盐糖等调味品的食瓮惯用釉色，属于传统炉灶旁器具的常见色。</t>
  </si>
  <si>
    <t>绀蝶</t>
  </si>
  <si>
    <t>许慎《说文解字.系部》日“绀，帛深青而扬赤色也"。闺房色、召郎婿。绀蝶,最早出自西晋学者崔豹写的《古今注》:“绀蝶，一名蜻蛉，似蜻蛉而色玄绀,辽东人呼为绀幡，亦曰童幡，亦曰天鸡。好以七月群飞暗天,海边夷貊食之，谓海中青虾化为之也。”绀蝶的颜色是玄绀,正好是接近于黑色而透红。海边的土著说,绀蝶是海中青虾变化而成，所以可以作为食物。更奇妙的是明代文人杨慎的说法，他的《谢华启秀》讲:“绀蝶，闺房媚药。”这可以说是绀蝶的怪力乱神的说法,权当谈资罢了。</t>
  </si>
  <si>
    <t>酱棕</t>
  </si>
  <si>
    <t>水牛灰</t>
  </si>
  <si>
    <t>栗棕</t>
  </si>
  <si>
    <t>牛角灰</t>
  </si>
  <si>
    <t>火山棕</t>
  </si>
  <si>
    <t>京元</t>
  </si>
  <si>
    <r>
      <rPr>
        <sz val="11"/>
        <color theme="1"/>
        <rFont val="方正粗黑宋简体"/>
        <charset val="134"/>
      </rPr>
      <t>明清之际南京地区市井染坊出品的元清色。也就是玄青，被称作元青因避康熙帝讳。李斗《扬州画舫录》曰“元青元在</t>
    </r>
    <r>
      <rPr>
        <sz val="11"/>
        <color theme="1"/>
        <rFont val="宋体"/>
        <charset val="134"/>
      </rPr>
      <t>緅</t>
    </r>
    <r>
      <rPr>
        <sz val="11"/>
        <color theme="1"/>
        <rFont val="方正粗黑宋简体"/>
        <charset val="134"/>
      </rPr>
      <t>缁之间。合青则为</t>
    </r>
    <r>
      <rPr>
        <sz val="11"/>
        <color theme="1"/>
        <rFont val="Microsoft YaHei UI"/>
        <charset val="134"/>
      </rPr>
      <t>䒌靘”</t>
    </r>
    <r>
      <rPr>
        <sz val="11"/>
        <color theme="1"/>
        <rFont val="方正粗黑宋简体"/>
        <charset val="134"/>
      </rPr>
      <t>。徐新吾《江南土布史》载“小布染坊中的青蓝坊,分南京和绍兴两帮。绍兴帮以染毛宝蓝为主，也兼染浅色如月白、鱼白之类。南京帮主要染玄色、潮兰、扪青等几种深色货。南京帮染的玄色很有名,称为‘京元’，故又叫深色坊”。元青是清代皇宫、官场和民间通用的颜色。</t>
    </r>
  </si>
  <si>
    <t>古鼎灰</t>
  </si>
  <si>
    <t>微紫灰。如古鼎燃香所得灰烬—般的紫灰色,清人有诗句曰:“茶泼青瓷碗，香飘古鼎灰。”</t>
  </si>
  <si>
    <t>苍蝇灰</t>
  </si>
  <si>
    <t>乌黑</t>
  </si>
  <si>
    <t>57，47，65</t>
  </si>
  <si>
    <r>
      <rPr>
        <sz val="11"/>
        <color theme="1"/>
        <rFont val="方正粗黑宋简体"/>
        <charset val="134"/>
      </rPr>
      <t>指乌鸦羽毛的颜色,微泛青光。又指天地间深灰色的厚重云层之色,是下雨的前兆。乌黑色是古代服饰常见的颜色,“乌衣巷”就因服饰之色而得名。</t>
    </r>
    <r>
      <rPr>
        <sz val="11"/>
        <color theme="0" tint="-0.499984740745262"/>
        <rFont val="方正粗黑宋简体"/>
        <charset val="134"/>
      </rPr>
      <t>乌黑：深黑。</t>
    </r>
    <r>
      <rPr>
        <sz val="11"/>
        <color theme="1" tint="0.349986266670736"/>
        <rFont val="方正粗黑宋简体"/>
        <charset val="134"/>
      </rPr>
      <t>乌黑色是指乌鸦的羽毛色泽。《小尔雅》:“纯黑而反哺者，谓之乌。”因乌鸦有反哺父母的天性，故在我国是孝道的象征，又被称为孝鸟。乌鸦全身的黑色羽毛实际上微泛青光，属于冷色调的黑色。乌鸦最早出现在古代神话中，传说太阳中有三足乌，因此“乌”又是太阳的别称;古文中“乌星暗没”是说日落之意。长沙马王堆古汉墓中发现的彩帛上，即绘有太阳与乌鸦的图样。而在现代天文学中所说的太阳黑子，可能就是盘古先民所称的太阳三足乌，亦即汉族神话中的太阳之灵。
乌黑色是古代服饰中常见的颜色，中唐诗人刘禹锡的《乌衣巷》有“朱雀桥边野草花，乌衣巷口夕阳斜”等诗句，其中所说的乌衣巷位于南京，是晋朝谢安、王导两大家族居住的地方，因其族中子弟都穿着乌黑色的服饰故而得名。古代男子头上佩戴的饰物分为巾与帽两种,名称区分严格:方者为巾，圆者叫帽。巾是汉族士大夫戴在头上的方帽，巾啧是指覆髻用的方形布巾，而笼巾则是魏晋时期流行的一种透气方帽。在五代十国中的南唐人物画家顾闳中的名画《韩熙载夜宴图》中，画中人物头上所戴的黑色高方帽或许就是笼巾。到了宋代，笼巾又演变为乌角巾，其造型方正，形如盒子，漆黑色的乌角巾因以对角处正戴在额头上，故称乌角巾。据传文人苏轼为乌角巾的改良者，故又称其为“东坡巾”，是属于一般平民佩戴的帽子。古代还有一种男士戴的圆帽称为乌纱帽，即黑色的纱帽，是用织纱涂上黑漆使其坚挺硬朗的一种圆帽。乌纱帽在隋唐时期为官帽。宋朝赵匡胤开国登基后，传说为防止上朝议事的大臣们交头接耳说悄悄话，遂下诏在传统的乌纱帽的左右两侧、耳朵上方位置各加一条横向直伸的“翅”，好让各朝臣间保持距离，少说闲话，专心听政。乌纱帽到了明朝以后，才正式成为当官的代名词，而“摘掉乌纱帽”则是表示丢官的意思，用词一直沿用至今。
乌黑色又泛指天际间深灰色厚甸的云层，“乌云压顶”是说天空云朵乌黑浓重，是倾盆大雨的先兆。此外，绍兴有三种以乌黑色来形容的当地著名传统产物，即乌干菜、乌毡帽和乌篷船。乌干菜就是梅干菜;乌毡帽是绍兴艇家船夫专用的黑高毡帽;乌篷船则因船篷用烟煤和防水的桐油漆成乌黑色而得名，是水乡绍兴特有的水上交通工具。船身狭长轻盈的乌篷船，黑压压地在水道中划过水痕，屋影倒映小河中，甚富诗意，是绍兴水镇才有的特色景象。</t>
    </r>
  </si>
  <si>
    <t>紫檀</t>
  </si>
  <si>
    <t>紫檀：檀木的颜色，也称乌檀色、乌木色</t>
  </si>
  <si>
    <t>豆沙</t>
  </si>
  <si>
    <t>青骊</t>
  </si>
  <si>
    <t>青黑颜色的骏马是宝马,少年侠客出场,选乘这种颜色的马有气场,姑娘挂念,前程大好。《史记·夏本纪》载“华阳黑水惟梁州……其土青骊”。裴骃集解引孔安国曰“色青黑也”。</t>
  </si>
  <si>
    <t>古铜紫</t>
  </si>
  <si>
    <t>瑾瑜</t>
  </si>
  <si>
    <t>和璆琳一样，瑾瑜也是青金石的古称，青金石的颜色是由青金石的矿物含量决定的。</t>
  </si>
  <si>
    <t>煤黑</t>
  </si>
  <si>
    <t>煤黑像牙黑：都是黑，不过有冷暖之分。</t>
  </si>
  <si>
    <t>紫黑</t>
  </si>
  <si>
    <t>深暗紫，黑中发微紫的颜色。清代《扬州画舫录》中的“大熏”，就是指这种颜色。南宋奸臣贾似道的《论肉》诗中有“紫黑苍黄肉，青白胜鹅梨”之句。</t>
  </si>
  <si>
    <t>墨色</t>
  </si>
  <si>
    <t>80，97，109</t>
  </si>
  <si>
    <r>
      <rPr>
        <sz val="11"/>
        <color theme="1"/>
        <rFont val="方正粗黑宋简体"/>
        <charset val="134"/>
      </rPr>
      <t>《尔雅》曰:“墨,黑也。”墨色指中国书画中使用石墨、人造墨等颜料后出现的黑色。因水分不同,墨色的明亮度和灰阶有所变化,分为“五色”:干、湿、浓、淡、焦。</t>
    </r>
    <r>
      <rPr>
        <sz val="11"/>
        <color theme="0" tint="-0.499984740745262"/>
        <rFont val="方正粗黑宋简体"/>
        <charset val="134"/>
      </rPr>
      <t>墨色：即黑色。</t>
    </r>
    <r>
      <rPr>
        <sz val="11"/>
        <color theme="1" tint="0.349986266670736"/>
        <rFont val="方正粗黑宋简体"/>
        <charset val="134"/>
      </rPr>
      <t>墨色是指一种无光线反射与无亮度的色彩，《广雅·释器》曰“墨，黑也”。墨亦指传统书写与绘画中所用的黑色颜料，墨黑色在书法与国画艺术用色史上占有十分重要的地位，自古即属于实用与鉴赏用的色彩，也是华夏文化的象征。在我国，最早出现的黑色颜料主要来自天然矿物中的石墨与煤炭;而史前的彩陶饰纹、竹木简牍和兼（细绢)帛书画等，也留下原始用墨的痕迹。相传书写记事用的人造墨材，是由周宣王时期的刑夷所发明。自秦以后，人工制墨开始发展，汉代的主要制墨地在陕西汉阳。到了唐代，制墨技术更加发达，当时制成块状的“唐墨”，即代表质量优良，甚至传到东瀛，成为日本书画界中非常珍贵的黑色用料。而历代制墨专家无不研发各具特色的墨原料，以供骚人墨客挥毫之用，甚至连北宋大文豪苏轼也曾尝试制墨，探索研究新配方与不同的颜色。只可惜最后制墨不成，还差点连房子也给烧了:“己卯腊月二十三日，墨灶火大发，几焚屋，救灭，遂罢作墨。”（苏轼《海南作墨记》)墨黑色在绘画史中占有举足轻重的位置，在传统单色崇拜思想与禅宗哲学的影响下，发迹于唐代、盛行于宋代的水墨画文人画家就曾强调“墨即是色”及“墨分五色”(即焦、浓、重、淡、清）的绘画理论，相信只要通过墨迹的浓淡灰度与多层次渲染的水墨色调变化，也可以达到“如兼五彩”和“不施丹青，光彩照人”的艺术创作效果。最早重视墨黑色、提出“水墨为上”观念的，是唐代诗人王维，他曾指出:“夫画道之中，水墨为上。肇自然之性，成造化之工，或咫尺之图，写百干里之景。东西南北，莞尔目前;春夏秋冬，生于笔底。”而“逸笔草草”的超然艺术境界，以至墨色在画纸上的干百种从浓黑到灰白的单纯明亮度与灰阶变化，是我国独有的绘画风格以及文人水墨画的色彩审美观。
在传统文化中，墨黑色又代表凶事及带有负面的含义，像墨色是周代时制定的丧服色之一;墨刑是古代的五刑之一，就是在犯人的额头上刺刻后涂上黑色，作为惩罚的记号;贪墨及墨吏是指贪污的官员。全身黑色羽毛的鸬鹚又称墨鸭，渔夫利用墨鸭善于潜进水中抓鱼的天性帮忙捕鱼。“鸬鹚捉鱼”是自古至今桂林漓江上及江南水乡中特有的景象之一。</t>
    </r>
  </si>
  <si>
    <t>獭见</t>
  </si>
  <si>
    <t>陆佃《埤雅》载“獭兽,西方白虎之属,似狐而小,青黑色,肤如伏翼……-取鲤于水裔，四方陈之,进而弗食”。清酒“獭祭”出自獭祭鱼的典故，摆一圈鱼来显摆,够有分量够有底气。</t>
  </si>
  <si>
    <t>漆黑</t>
  </si>
  <si>
    <t>0，0，15</t>
  </si>
  <si>
    <r>
      <rPr>
        <sz val="11"/>
        <color theme="1"/>
        <rFont val="方正粗黑宋简体"/>
        <charset val="134"/>
      </rPr>
      <t>指油亮光泽的黑漆之色。漆是中国最早出现的植物色料之一。先秦时，漆器就已普遍流行，黑时漆器的主流色。漆黑可形容年轻人的发色，也指深夜时的天色。</t>
    </r>
    <r>
      <rPr>
        <sz val="11"/>
        <color theme="0" tint="-0.499984740745262"/>
        <rFont val="方正粗黑宋简体"/>
        <charset val="134"/>
      </rPr>
      <t xml:space="preserve">漆黑：非常黑的。 </t>
    </r>
    <r>
      <rPr>
        <sz val="11"/>
        <color theme="1" tint="0.349986266670736"/>
        <rFont val="方正粗黑宋简体"/>
        <charset val="134"/>
      </rPr>
      <t>汉语“漆”字原指生长于大自然的植物——漆树。漆黑是形容漆树汁液的颜色，是一种带有滑亮光泽的黑色，是我国最早出现的植物天然色料之一。据史料记载，中国是世界上最早懂得使用漆树汁液涂饰器物的国家，在诗歌集《诗经·墉风·定之方中》有“椅桐梓漆，爰伐琴瑟”的记录。诗中的椅桐梓漆皆木名，意思是待这些树木长大后可伐之造琴瑟乐器。曾任漆园吏的道家哲学家庄子在他的《人世间》中又说:“漆可用，故割之。”
在战国时期的文献中，载有漆器在历史传说时期的舜帝时被当作食器使用，而禹时则作为祭器使用的记录。禹也开启了以漆器为随葬品及做棺木的风俗。随后外表亮丽光滑、美观兼耐用的日用漆器如漆盘、漆筷、漆杯等制品，逐渐取代尧帝时期的土簋（盛饭食的瓦器）、土</t>
    </r>
    <r>
      <rPr>
        <sz val="11"/>
        <color theme="1" tint="0.349986266670736"/>
        <rFont val="宋体"/>
        <charset val="134"/>
      </rPr>
      <t>簠</t>
    </r>
    <r>
      <rPr>
        <sz val="11"/>
        <color theme="1" tint="0.349986266670736"/>
        <rFont val="方正粗黑宋简体"/>
        <charset val="134"/>
      </rPr>
      <t>（贮稻粱的瓦器）等笨重器皿。漆黑色成了当时的主流色彩。
黑漆涂料也应用在古代的男子服饰上。崇尚黑色的秦朝有规定，平民百姓的黑色包头巾帛只许用黑漆布制成;而流行于隋唐时期男士所戴的帽子——漆纱幞头，即乌纱帽的前身，主要是用桐木削片或用竹片编成，再裹上用厚黑漆涂抹的纱罗，使之坚挺牢固。古代军士所穿的黑色护身皮革称为漆甲。
漆黑色也用来形容油亮的黑发;亦可指大自然的天色，即星月无光的夜晚,笼罩大地的黑暗色彩会令人心生不安，产生恐惧与危机感。伸手不见五指的夜色，在古时或武侠小说中，常用来描述身穿夜行衣、武功了得的蒙面刺客，趁黑夜飞檐走壁入屋轻取敌人首级,又或是宵小摸黑爬墙入室行窃犯案的最佳时机。</t>
    </r>
  </si>
  <si>
    <t>铁黑</t>
  </si>
  <si>
    <t>灰黑如铁之色，“铁黑”常用来形容山色，清人有诗句曰:“阴崖积铁黑，晴峦淡蛾绿。”</t>
  </si>
  <si>
    <t>黑酱</t>
  </si>
  <si>
    <t>紫黑色。“酱”一般指豆类发酵制成的调味品，其色泽常用来染布,是中老年人的服色。一部分吉州窑、建窑的黑釉瓷器,即呈现浓厚的黑酱釉色。</t>
  </si>
  <si>
    <t>松烟灰</t>
  </si>
  <si>
    <t>近于墨色的灰黑。松烟灰是制作书画用墨的主要成分之一，其颜色相比油烟墨更淡，缺少光泽。</t>
  </si>
  <si>
    <t>绀黑</t>
  </si>
  <si>
    <t>亮黑色。宋代品茶、斗茶，茶色白宜用黑茶盏。蔡襄《茶录》中指出,黑釉茶盏中，“建安所造者，绀黑”，为宋代建窑极品釉色。也指发色,南宋吴文英有诗句“玉人垂绀鬓”。</t>
  </si>
  <si>
    <t>黑色</t>
  </si>
  <si>
    <t>0，0，0</t>
  </si>
  <si>
    <r>
      <rPr>
        <sz val="11"/>
        <color theme="1"/>
        <rFont val="方正粗黑宋简体"/>
        <charset val="134"/>
      </rPr>
      <t>黑色原指物质经焰火烟熏后产生的一种暗沉无亮光度的色泽，许慎《说文解字》曰“黑，火所熏之色也”。在会意的小篆字形中,黑字的上方是古代的“囱”字,即烟囱，下方是“炎”，即火字，合起来是表示焚烧出烟后所熏过的颜色。黑色是古代史上单色崇拜时间最长以及含义多元化的一种色彩。我国自古用“黑”描述大自然中光线的阴沉度:“黑,晦也。如晦冥时色也。”(《释名》)在古汉语中，黑与玄、幽、</t>
    </r>
    <r>
      <rPr>
        <sz val="11"/>
        <color theme="1"/>
        <rFont val="宋体"/>
        <charset val="134"/>
      </rPr>
      <t>皁</t>
    </r>
    <r>
      <rPr>
        <sz val="11"/>
        <color theme="1"/>
        <rFont val="方正粗黑宋简体"/>
        <charset val="134"/>
      </rPr>
      <t xml:space="preserve">(皂)字义相通，是古人泛指北方天空长时间黯然深邃与神秘的色调。在古代的色彩理论“五正色观”中，黑色与赤、青、黄、白并列为衍生大自然色彩的五种基本色调。古人又从观察天地运行间，日出日落的自然景色而得出“自生期明”及“首先黑白”的观念。《史记·龟策传》说“天出五色，以辨白黑”。在现代的光学理论中，黑与白是指无色彩之意;而在古时，黑白却被引申成影响中华文化数干年的重要色彩与哲学思想——道家中的阴阳学说。道家学派始祖老主张“万物负阴（黑)而抱阳(白)，冲气以为和”(《道德经》第四十二章)，而阴阳未分之混沌元气，为天地万物始生的本源，称为“太极”;太极生两仪，两仪指天与地，所以“太极”即道家的天地宇宙观。在古代太极图中，圆形象征循环不息、周而复始的天地，中间是两条黑白（阴阳）互抱、互相渗透共生又对立统一的双鱼图腾，既代表老子所说的“和”与“气”，亦构成“和者为物，同则不继”的道家思想。老子从颜色的角度认为“五色令人目盲”，但黑色能让人心静目正，白色则代表光明与纯洁;他又说“知其白，守其黑”，所以选择黑色———种带有玄妙与深度的颜色为“道”的象征。黑色又引申为道教的信仰颜色，以及道士所穿着的袍色。
秦始皇在统一中国后，仍遵循前朝帝王单一选色传统惯例，因周朝崇尚赤色（属火），故秦始皇即位后，就依从“五德色行说”，选择了黑色为秦朝的代表色，并尊崇北方为水德,以及以冬十月为年首，又“易服色与旗色为黑……别黑白而定一尊”(《史记》)，国内上下都穿黑色衣服。秦始皇同时规定平民百姓只能用黑色的头巾包头，所以《史记》又说“秦皇更民曰黔首”，黔即黑色。而五正色观也开启了历代帝王的选色崇拜，并与政治及社会的尊卑地位连上了关系。原本黑色的尊贵地位又随着朝代的兴替而有所起落。自秦朝覆灭后，黑袍仍是汉、魏、晋诸朝文官的服色，称“玄端”。直到南北朝的北周时期，才开始用不同的颜色区分官位的高低。在三国时代，佛门众僧法服多为缁黑色，所以“缁衣”是当时对出家人的别称。到了隋炀帝时期，规定商人与屠夫只能穿黑色衣物，黑色开始有等而下之的贬义。而在10世纪的宋代，黑色是平民的服色之一。
在汉族的传统文化中，黑色与红色的意义刚好相反，代表“不吉利”“凶兆”，黑是丧服的颜色。古时用来捆绑罪犯的绳索叫缧绁，为染成黑色的麻绳，缧从累旁，劳也，缧即耐劳大索。而狱卒穿的是皂黑色的制服，所以又别称皂役。
绘画纯用墨色是我国独有的艺术创作风格，水墨画家讲求“以形写神”，并主张以笔为画之骨，墨为画之肉，黑色是绘画的唯一主彩。画家可以借助浓淡层次的墨色,画出“淡墨轻岚”或“烟水迷茫”等不易流俗的空灵感觉与古雅禅意。黑白水墨画就是文人画的色彩观。
黑色也是古代中国妇女美颜的时尚色彩，黛黑是中外美女流行干百年的画眉美色;而以乌黑色脂膏抹嘴的黑唇妆是唐代另类的涂唇化妆术。此外，古人又认为润白的脸色与漆黑的瞳孔是貌比天仙的美人坯子:“面如凝脂，眼如点漆，此神仙中人。”(《世说新语·容止》)古人还有把牙齿染成黑色的习惯，染料来自天然染材虫瘿（同婴，俗称五倍子)，是一种“角倍蚜虫”，寄生在漆树属盐肤木的小叶上，最后形成虫瘿“五倍子”。因五倍子含单宁酸，是古时制造墨汁以及染布和染发用的黑色染料。在牙膏发明之前,用虫瘿萃取出的粉末(五倍子粉)抹牙令牙齿变黑，又有防蛀牙的药效。在我国已有2000年应用历史的五倍子亦远传到日本，明代学者李言恭写于万历年间的《日本考》中记述，直至明代，日本贵族中尚普遍流行以锈铁水浸乌蓓子(五倍子)粉末，以染牙成黑齿，以便与庶民的白齿区分贵贱的特殊风俗。
在传统戏曲舞台上，黑色脸谱象征正义清廉与大公无私。在古时的民间年画中，黑色曾经是财神爷的颜色。国人相信黑色的食品多有滋补的功效，像黑五类（黑豆、黑枣、黑米、黑芝麻、黑玉米)是传统食补中的上品,乌骨鸡则是滋养的食材等。
</t>
    </r>
    <r>
      <rPr>
        <sz val="11"/>
        <color theme="0" tint="-0.499984740745262"/>
        <rFont val="方正粗黑宋简体"/>
        <charset val="134"/>
      </rPr>
      <t>黑色：亮度最低的非彩色的或消色差的物体的颜色；最暗的灰色；被认为特别属于那些既不能反射、又不能透过能使人感觉到的微小入射光的物体,任何亮度很低的物体颜色。</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</si>
</sst>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theme="1"/>
      <name val="等线"/>
      <charset val="134"/>
      <scheme val="minor"/>
    </font>
    <font>
      <sz val="11"/>
      <color theme="1"/>
      <name val="方正粗黑宋简体"/>
      <charset val="134"/>
    </font>
    <font>
      <sz val="11"/>
      <color rgb="FFFFFFFB"/>
      <name val="方正粗黑宋简体"/>
      <charset val="134"/>
    </font>
    <font>
      <sz val="11"/>
      <color rgb="FF9D9D82"/>
      <name val="方正粗黑宋简体"/>
      <charset val="134"/>
    </font>
    <font>
      <sz val="11"/>
      <color theme="1"/>
      <name val="宋体"/>
      <charset val="134"/>
    </font>
    <font>
      <sz val="10.5"/>
      <color theme="1"/>
      <name val="方正粗黑宋简体"/>
      <charset val="134"/>
    </font>
    <font>
      <sz val="11"/>
      <color theme="1"/>
      <name val="Microsoft YaHei UI"/>
      <charset val="134"/>
    </font>
    <font>
      <sz val="11"/>
      <color theme="9"/>
      <name val="方正粗黑宋简体"/>
      <charset val="134"/>
    </font>
    <font>
      <sz val="11"/>
      <color theme="9" tint="-0.249977111117893"/>
      <name val="方正粗黑宋简体"/>
      <charset val="134"/>
    </font>
    <font>
      <sz val="11"/>
      <color theme="9" tint="-0.499984740745262"/>
      <name val="方正粗黑宋简体"/>
      <charset val="134"/>
    </font>
    <font>
      <sz val="11"/>
      <color theme="9" tint="0.399975585192419"/>
      <name val="方正粗黑宋简体"/>
      <charset val="134"/>
    </font>
    <font>
      <sz val="11"/>
      <name val="方正粗黑宋简体"/>
      <charset val="134"/>
    </font>
    <font>
      <sz val="11"/>
      <color rgb="FFE61030"/>
      <name val="方正粗黑宋简体"/>
      <charset val="134"/>
    </font>
    <font>
      <b/>
      <sz val="11"/>
      <color rgb="FF333333"/>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0" tint="-0.499984740745262"/>
      <name val="方正粗黑宋简体"/>
      <charset val="134"/>
    </font>
    <font>
      <sz val="11"/>
      <color theme="0" tint="-0.349986266670736"/>
      <name val="方正粗黑宋简体"/>
      <charset val="134"/>
    </font>
    <font>
      <sz val="11"/>
      <color theme="1" tint="0.349986266670736"/>
      <name val="方正粗黑宋简体"/>
      <charset val="134"/>
    </font>
    <font>
      <b/>
      <sz val="11"/>
      <color rgb="FF333333"/>
      <name val="微软雅黑"/>
      <charset val="134"/>
    </font>
    <font>
      <b/>
      <sz val="11"/>
      <color rgb="FF333333"/>
      <name val="Microsoft YaHei UI"/>
      <charset val="134"/>
    </font>
    <font>
      <sz val="11"/>
      <color theme="1"/>
      <name val="Calibri"/>
      <charset val="134"/>
    </font>
    <font>
      <sz val="11"/>
      <color theme="9" tint="-0.499984740745262"/>
      <name val="宋体"/>
      <charset val="134"/>
    </font>
    <font>
      <sz val="11"/>
      <color theme="1" tint="0.349986266670736"/>
      <name val="宋体"/>
      <charset val="134"/>
    </font>
    <font>
      <sz val="10.5"/>
      <color theme="0" tint="-0.499984740745262"/>
      <name val="方正粗黑宋简体"/>
      <charset val="134"/>
    </font>
    <font>
      <sz val="11"/>
      <color theme="1" tint="0.249977111117893"/>
      <name val="方正粗黑宋简体"/>
      <charset val="134"/>
    </font>
    <font>
      <sz val="11"/>
      <color theme="1" tint="0.499984740745262"/>
      <name val="方正粗黑宋简体"/>
      <charset val="134"/>
    </font>
    <font>
      <sz val="11"/>
      <color theme="1" tint="0.249977111117893"/>
      <name val="宋体"/>
      <charset val="134"/>
    </font>
    <font>
      <sz val="11"/>
      <color theme="1"/>
      <name val="Microsoft YaHei UI"/>
      <charset val="1"/>
    </font>
    <font>
      <sz val="11"/>
      <color theme="0" tint="-0.499984740745262"/>
      <name val="宋体"/>
      <charset val="134"/>
    </font>
    <font>
      <sz val="11"/>
      <name val="宋体"/>
      <charset val="134"/>
    </font>
  </fonts>
  <fills count="1111">
    <fill>
      <patternFill patternType="none"/>
    </fill>
    <fill>
      <patternFill patternType="gray125"/>
    </fill>
    <fill>
      <patternFill patternType="solid">
        <fgColor rgb="FFFFCCCC"/>
        <bgColor indexed="64"/>
      </patternFill>
    </fill>
    <fill>
      <patternFill patternType="solid">
        <fgColor rgb="FFCCFFCC"/>
        <bgColor indexed="64"/>
      </patternFill>
    </fill>
    <fill>
      <patternFill patternType="solid">
        <fgColor rgb="FFDDEBF7"/>
        <bgColor indexed="64"/>
      </patternFill>
    </fill>
    <fill>
      <patternFill patternType="solid">
        <fgColor rgb="FFFFFFFF"/>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FFFEF8"/>
        <bgColor indexed="64"/>
      </patternFill>
    </fill>
    <fill>
      <patternFill patternType="solid">
        <fgColor theme="9" tint="-0.499984740745262"/>
        <bgColor indexed="64"/>
      </patternFill>
    </fill>
    <fill>
      <patternFill patternType="solid">
        <fgColor rgb="FFFFFFFB"/>
        <bgColor indexed="64"/>
      </patternFill>
    </fill>
    <fill>
      <patternFill patternType="solid">
        <fgColor rgb="FFFFFEFA"/>
        <bgColor indexed="64"/>
      </patternFill>
    </fill>
    <fill>
      <patternFill patternType="solid">
        <fgColor theme="9" tint="-0.249977111117893"/>
        <bgColor indexed="64"/>
      </patternFill>
    </fill>
    <fill>
      <patternFill patternType="solid">
        <fgColor rgb="FFFFFEF9"/>
        <bgColor indexed="64"/>
      </patternFill>
    </fill>
    <fill>
      <patternFill patternType="solid">
        <fgColor rgb="FFFFFEF5"/>
        <bgColor indexed="64"/>
      </patternFill>
    </fill>
    <fill>
      <patternFill patternType="solid">
        <fgColor rgb="FFFDFCF3"/>
        <bgColor indexed="64"/>
      </patternFill>
    </fill>
    <fill>
      <patternFill patternType="solid">
        <fgColor rgb="FFFFFBE7"/>
        <bgColor indexed="64"/>
      </patternFill>
    </fill>
    <fill>
      <patternFill patternType="solid">
        <fgColor rgb="FFF3F9F1"/>
        <bgColor indexed="64"/>
      </patternFill>
    </fill>
    <fill>
      <patternFill patternType="solid">
        <fgColor rgb="FFF5F3F2"/>
        <bgColor indexed="64"/>
      </patternFill>
    </fill>
    <fill>
      <patternFill patternType="solid">
        <fgColor rgb="FFF8F4ED"/>
        <bgColor indexed="64"/>
      </patternFill>
    </fill>
    <fill>
      <patternFill patternType="solid">
        <fgColor rgb="FFF7F4ED"/>
        <bgColor indexed="64"/>
      </patternFill>
    </fill>
    <fill>
      <patternFill patternType="solid">
        <fgColor rgb="FFF0F0F4"/>
        <bgColor indexed="64"/>
      </patternFill>
    </fill>
    <fill>
      <patternFill patternType="solid">
        <fgColor rgb="FFF6F9E4"/>
        <bgColor indexed="64"/>
      </patternFill>
    </fill>
    <fill>
      <patternFill patternType="solid">
        <fgColor rgb="FFE9F1F6"/>
        <bgColor indexed="64"/>
      </patternFill>
    </fill>
    <fill>
      <patternFill patternType="solid">
        <fgColor rgb="FFF5F2E9"/>
        <bgColor indexed="64"/>
      </patternFill>
    </fill>
    <fill>
      <patternFill patternType="solid">
        <fgColor rgb="FFE3EFFD"/>
        <bgColor indexed="64"/>
      </patternFill>
    </fill>
    <fill>
      <patternFill patternType="solid">
        <fgColor rgb="FFF1F0ED"/>
        <bgColor indexed="64"/>
      </patternFill>
    </fill>
    <fill>
      <patternFill patternType="solid">
        <fgColor rgb="FFEFEFEF"/>
        <bgColor indexed="64"/>
      </patternFill>
    </fill>
    <fill>
      <patternFill patternType="solid">
        <fgColor rgb="FFF9F4DC"/>
        <bgColor indexed="64"/>
      </patternFill>
    </fill>
    <fill>
      <patternFill patternType="solid">
        <fgColor rgb="FFEAEEF1"/>
        <bgColor indexed="64"/>
      </patternFill>
    </fill>
    <fill>
      <patternFill patternType="solid">
        <fgColor rgb="FFF9F1DB"/>
        <bgColor indexed="64"/>
      </patternFill>
    </fill>
    <fill>
      <patternFill patternType="solid">
        <fgColor rgb="FFEBEEE8"/>
        <bgColor indexed="64"/>
      </patternFill>
    </fill>
    <fill>
      <patternFill patternType="solid">
        <fgColor rgb="FFF2ECDE"/>
        <bgColor indexed="64"/>
      </patternFill>
    </fill>
    <fill>
      <patternFill patternType="solid">
        <fgColor rgb="FFEBEDDF"/>
        <bgColor indexed="64"/>
      </patternFill>
    </fill>
    <fill>
      <patternFill patternType="solid">
        <fgColor rgb="FFEAE5E3"/>
        <bgColor indexed="64"/>
      </patternFill>
    </fill>
    <fill>
      <patternFill patternType="solid">
        <fgColor rgb="FFE2E1E4"/>
        <bgColor indexed="64"/>
      </patternFill>
    </fill>
    <fill>
      <patternFill patternType="solid">
        <fgColor rgb="FFD3E0F3"/>
        <bgColor indexed="64"/>
      </patternFill>
    </fill>
    <fill>
      <patternFill patternType="solid">
        <fgColor rgb="FFD8E3E7"/>
        <bgColor indexed="64"/>
      </patternFill>
    </fill>
    <fill>
      <patternFill patternType="solid">
        <fgColor rgb="FFEAE4D1"/>
        <bgColor indexed="64"/>
      </patternFill>
    </fill>
    <fill>
      <patternFill patternType="solid">
        <fgColor rgb="FFE4DFD7"/>
        <bgColor indexed="64"/>
      </patternFill>
    </fill>
    <fill>
      <patternFill patternType="solid">
        <fgColor rgb="FFDFE0D9"/>
        <bgColor indexed="64"/>
      </patternFill>
    </fill>
    <fill>
      <patternFill patternType="solid">
        <fgColor rgb="FFEBE3C7"/>
        <bgColor indexed="64"/>
      </patternFill>
    </fill>
    <fill>
      <patternFill patternType="solid">
        <fgColor rgb="FFD4DDE1"/>
        <bgColor indexed="64"/>
      </patternFill>
    </fill>
    <fill>
      <patternFill patternType="solid">
        <fgColor rgb="FFE0E0D0"/>
        <bgColor indexed="64"/>
      </patternFill>
    </fill>
    <fill>
      <patternFill patternType="solid">
        <fgColor rgb="FFE6D2D5"/>
        <bgColor indexed="64"/>
      </patternFill>
    </fill>
    <fill>
      <patternFill patternType="solid">
        <fgColor rgb="FFECD9C7"/>
        <bgColor indexed="64"/>
      </patternFill>
    </fill>
    <fill>
      <patternFill patternType="solid">
        <fgColor rgb="FFD1D9E0"/>
        <bgColor indexed="64"/>
      </patternFill>
    </fill>
    <fill>
      <patternFill patternType="solid">
        <fgColor rgb="FFE0DFC6"/>
        <bgColor indexed="64"/>
      </patternFill>
    </fill>
    <fill>
      <patternFill patternType="solid">
        <fgColor rgb="FFE9DDB6"/>
        <bgColor indexed="64"/>
      </patternFill>
    </fill>
    <fill>
      <patternFill patternType="solid">
        <fgColor rgb="FFDAD4CB"/>
        <bgColor indexed="64"/>
      </patternFill>
    </fill>
    <fill>
      <patternFill patternType="solid">
        <fgColor rgb="FFDFD7C2"/>
        <bgColor indexed="64"/>
      </patternFill>
    </fill>
    <fill>
      <patternFill patternType="solid">
        <fgColor rgb="FFD3CCD6"/>
        <bgColor indexed="64"/>
      </patternFill>
    </fill>
    <fill>
      <patternFill patternType="solid">
        <fgColor rgb="FFC4D7D6"/>
        <bgColor indexed="64"/>
      </patternFill>
    </fill>
    <fill>
      <patternFill patternType="solid">
        <fgColor rgb="FFCDD1D3"/>
        <bgColor indexed="64"/>
      </patternFill>
    </fill>
    <fill>
      <patternFill patternType="solid">
        <fgColor rgb="FFD4D3CA"/>
        <bgColor indexed="64"/>
      </patternFill>
    </fill>
    <fill>
      <patternFill patternType="solid">
        <fgColor rgb="FFD8D1C5"/>
        <bgColor indexed="64"/>
      </patternFill>
    </fill>
    <fill>
      <patternFill patternType="solid">
        <fgColor rgb="FFDFD6B8"/>
        <bgColor indexed="64"/>
      </patternFill>
    </fill>
    <fill>
      <patternFill patternType="solid">
        <fgColor rgb="FFD4D3C1"/>
        <bgColor indexed="64"/>
      </patternFill>
    </fill>
    <fill>
      <patternFill patternType="solid">
        <fgColor rgb="FFCFCCC9"/>
        <bgColor indexed="64"/>
      </patternFill>
    </fill>
    <fill>
      <patternFill patternType="solid">
        <fgColor rgb="FFD3CBC5"/>
        <bgColor indexed="64"/>
      </patternFill>
    </fill>
    <fill>
      <patternFill patternType="solid">
        <fgColor rgb="FFE5D3AA"/>
        <bgColor indexed="64"/>
      </patternFill>
    </fill>
    <fill>
      <patternFill patternType="solid">
        <fgColor rgb="FFDFCEB4"/>
        <bgColor indexed="64"/>
      </patternFill>
    </fill>
    <fill>
      <patternFill patternType="solid">
        <fgColor rgb="FFC2CCD0"/>
        <bgColor indexed="64"/>
      </patternFill>
    </fill>
    <fill>
      <patternFill patternType="solid">
        <fgColor rgb="FFC4CBCF"/>
        <bgColor indexed="64"/>
      </patternFill>
    </fill>
    <fill>
      <patternFill patternType="solid">
        <fgColor rgb="FFEAD89A"/>
        <bgColor indexed="64"/>
      </patternFill>
    </fill>
    <fill>
      <patternFill patternType="solid">
        <fgColor rgb="FFDDC5B8"/>
        <bgColor indexed="64"/>
      </patternFill>
    </fill>
    <fill>
      <patternFill patternType="solid">
        <fgColor rgb="FFBDCBD2"/>
        <bgColor indexed="64"/>
      </patternFill>
    </fill>
    <fill>
      <patternFill patternType="solid">
        <fgColor rgb="FFCCC9C4"/>
        <bgColor indexed="64"/>
      </patternFill>
    </fill>
    <fill>
      <patternFill patternType="solid">
        <fgColor rgb="FFC9CFC1"/>
        <bgColor indexed="64"/>
      </patternFill>
    </fill>
    <fill>
      <patternFill patternType="solid">
        <fgColor rgb="FFD5D1AE"/>
        <bgColor indexed="64"/>
      </patternFill>
    </fill>
    <fill>
      <patternFill patternType="solid">
        <fgColor rgb="FFD4C4B7"/>
        <bgColor indexed="64"/>
      </patternFill>
    </fill>
    <fill>
      <patternFill patternType="solid">
        <fgColor rgb="FFC0C4C3"/>
        <bgColor indexed="64"/>
      </patternFill>
    </fill>
    <fill>
      <patternFill patternType="solid">
        <fgColor rgb="FFD4C9AA"/>
        <bgColor indexed="64"/>
      </patternFill>
    </fill>
    <fill>
      <patternFill patternType="solid">
        <fgColor rgb="FFC7C6B6"/>
        <bgColor indexed="64"/>
      </patternFill>
    </fill>
    <fill>
      <patternFill patternType="solid">
        <fgColor rgb="FFD5C8A0"/>
        <bgColor indexed="64"/>
      </patternFill>
    </fill>
    <fill>
      <patternFill patternType="solid">
        <fgColor rgb="FFBEC2BC"/>
        <bgColor indexed="64"/>
      </patternFill>
    </fill>
    <fill>
      <patternFill patternType="solid">
        <fgColor rgb="FFD4C1A6"/>
        <bgColor indexed="64"/>
      </patternFill>
    </fill>
    <fill>
      <patternFill patternType="solid">
        <fgColor rgb="FFE1C199"/>
        <bgColor indexed="64"/>
      </patternFill>
    </fill>
    <fill>
      <patternFill patternType="solid">
        <fgColor rgb="FFBEBEBE"/>
        <bgColor indexed="64"/>
      </patternFill>
    </fill>
    <fill>
      <patternFill patternType="solid">
        <fgColor rgb="FFC8B6BB"/>
        <bgColor indexed="64"/>
      </patternFill>
    </fill>
    <fill>
      <patternFill patternType="solid">
        <fgColor rgb="FFE8B49A"/>
        <bgColor indexed="64"/>
      </patternFill>
    </fill>
    <fill>
      <patternFill patternType="solid">
        <fgColor rgb="FFC6BEB1"/>
        <bgColor indexed="64"/>
      </patternFill>
    </fill>
    <fill>
      <patternFill patternType="solid">
        <fgColor rgb="FFB2BFC3"/>
        <bgColor indexed="64"/>
      </patternFill>
    </fill>
    <fill>
      <patternFill patternType="solid">
        <fgColor rgb="FFBEC2B3"/>
        <bgColor indexed="64"/>
      </patternFill>
    </fill>
    <fill>
      <patternFill patternType="solid">
        <fgColor rgb="FFDDBB99"/>
        <bgColor indexed="64"/>
      </patternFill>
    </fill>
    <fill>
      <patternFill patternType="solid">
        <fgColor rgb="FFC8B5B3"/>
        <bgColor indexed="64"/>
      </patternFill>
    </fill>
    <fill>
      <patternFill patternType="solid">
        <fgColor rgb="FFCAC5A0"/>
        <bgColor indexed="64"/>
      </patternFill>
    </fill>
    <fill>
      <patternFill patternType="solid">
        <fgColor rgb="FFE3BD8D"/>
        <bgColor indexed="64"/>
      </patternFill>
    </fill>
    <fill>
      <patternFill patternType="solid">
        <fgColor rgb="FFB2BBBE"/>
        <bgColor indexed="64"/>
      </patternFill>
    </fill>
    <fill>
      <patternFill patternType="solid">
        <fgColor rgb="FFBFC1A9"/>
        <bgColor indexed="64"/>
      </patternFill>
    </fill>
    <fill>
      <patternFill patternType="solid">
        <fgColor rgb="FFBDB2B2"/>
        <bgColor indexed="64"/>
      </patternFill>
    </fill>
    <fill>
      <patternFill patternType="solid">
        <fgColor rgb="FFD2AF9D"/>
        <bgColor indexed="64"/>
      </patternFill>
    </fill>
    <fill>
      <patternFill patternType="solid">
        <fgColor rgb="FFB2B6B6"/>
        <bgColor indexed="64"/>
      </patternFill>
    </fill>
    <fill>
      <patternFill patternType="solid">
        <fgColor rgb="FFBBB5AC"/>
        <bgColor indexed="64"/>
      </patternFill>
    </fill>
    <fill>
      <patternFill patternType="solid">
        <fgColor rgb="FFD4BF89"/>
        <bgColor indexed="64"/>
      </patternFill>
    </fill>
    <fill>
      <patternFill patternType="solid">
        <fgColor rgb="FFA1AFC9"/>
        <bgColor indexed="64"/>
      </patternFill>
    </fill>
    <fill>
      <patternFill patternType="solid">
        <fgColor rgb="FFBEB1AA"/>
        <bgColor indexed="64"/>
      </patternFill>
    </fill>
    <fill>
      <patternFill patternType="solid">
        <fgColor rgb="FFBDAEAD"/>
        <bgColor indexed="64"/>
      </patternFill>
    </fill>
    <fill>
      <patternFill patternType="solid">
        <fgColor rgb="FFC1B2A3"/>
        <bgColor indexed="64"/>
      </patternFill>
    </fill>
    <fill>
      <patternFill patternType="solid">
        <fgColor rgb="FFBFC096"/>
        <bgColor indexed="64"/>
      </patternFill>
    </fill>
    <fill>
      <patternFill patternType="solid">
        <fgColor rgb="FFBFB99C"/>
        <bgColor indexed="64"/>
      </patternFill>
    </fill>
    <fill>
      <patternFill patternType="solid">
        <fgColor rgb="FFC4B798"/>
        <bgColor indexed="64"/>
      </patternFill>
    </fill>
    <fill>
      <patternFill patternType="solid">
        <fgColor rgb="FFB3B59C"/>
        <bgColor indexed="64"/>
      </patternFill>
    </fill>
    <fill>
      <patternFill patternType="solid">
        <fgColor rgb="FFBEA89D"/>
        <bgColor indexed="64"/>
      </patternFill>
    </fill>
    <fill>
      <patternFill patternType="solid">
        <fgColor rgb="FFD3B17D"/>
        <bgColor indexed="64"/>
      </patternFill>
    </fill>
    <fill>
      <patternFill patternType="solid">
        <fgColor rgb="FFA4ACA7"/>
        <bgColor indexed="64"/>
      </patternFill>
    </fill>
    <fill>
      <patternFill patternType="solid">
        <fgColor rgb="FFB7AE8F"/>
        <bgColor indexed="64"/>
      </patternFill>
    </fill>
    <fill>
      <patternFill patternType="solid">
        <fgColor rgb="FF9AA7B1"/>
        <bgColor indexed="64"/>
      </patternFill>
    </fill>
    <fill>
      <patternFill patternType="solid">
        <fgColor rgb="FFA7AAA1"/>
        <bgColor indexed="64"/>
      </patternFill>
    </fill>
    <fill>
      <patternFill patternType="solid">
        <fgColor rgb="FFBEA78B"/>
        <bgColor indexed="64"/>
      </patternFill>
    </fill>
    <fill>
      <patternFill patternType="solid">
        <fgColor rgb="FFB4A992"/>
        <bgColor indexed="64"/>
      </patternFill>
    </fill>
    <fill>
      <patternFill patternType="solid">
        <fgColor rgb="FFB5AA90"/>
        <bgColor indexed="64"/>
      </patternFill>
    </fill>
    <fill>
      <patternFill patternType="solid">
        <fgColor rgb="FFB598A1"/>
        <bgColor indexed="64"/>
      </patternFill>
    </fill>
    <fill>
      <patternFill patternType="solid">
        <fgColor rgb="FFA8B092"/>
        <bgColor indexed="64"/>
      </patternFill>
    </fill>
    <fill>
      <patternFill patternType="solid">
        <fgColor rgb="FFB7A091"/>
        <bgColor indexed="64"/>
      </patternFill>
    </fill>
    <fill>
      <patternFill patternType="solid">
        <fgColor rgb="FFBFA782"/>
        <bgColor indexed="64"/>
      </patternFill>
    </fill>
    <fill>
      <patternFill patternType="solid">
        <fgColor rgb="FFD5B45C"/>
        <bgColor indexed="64"/>
      </patternFill>
    </fill>
    <fill>
      <patternFill patternType="solid">
        <fgColor rgb="FFA8A19C"/>
        <bgColor indexed="64"/>
      </patternFill>
    </fill>
    <fill>
      <patternFill patternType="solid">
        <fgColor rgb="FF9FA0A0"/>
        <bgColor indexed="64"/>
      </patternFill>
    </fill>
    <fill>
      <patternFill patternType="solid">
        <fgColor rgb="FF9FA39A"/>
        <bgColor indexed="64"/>
      </patternFill>
    </fill>
    <fill>
      <patternFill patternType="solid">
        <fgColor rgb="FFBD9683"/>
        <bgColor indexed="64"/>
      </patternFill>
    </fill>
    <fill>
      <patternFill patternType="solid">
        <fgColor rgb="FFA9A886"/>
        <bgColor indexed="64"/>
      </patternFill>
    </fill>
    <fill>
      <patternFill patternType="solid">
        <fgColor rgb="FFBFA670"/>
        <bgColor indexed="64"/>
      </patternFill>
    </fill>
    <fill>
      <patternFill patternType="solid">
        <fgColor rgb="FFAC9F8A"/>
        <bgColor indexed="64"/>
      </patternFill>
    </fill>
    <fill>
      <patternFill patternType="solid">
        <fgColor rgb="FFB89485"/>
        <bgColor indexed="64"/>
      </patternFill>
    </fill>
    <fill>
      <patternFill patternType="solid">
        <fgColor rgb="FFB4A379"/>
        <bgColor indexed="64"/>
      </patternFill>
    </fill>
    <fill>
      <patternFill patternType="solid">
        <fgColor rgb="FFB6A476"/>
        <bgColor indexed="64"/>
      </patternFill>
    </fill>
    <fill>
      <patternFill patternType="solid">
        <fgColor rgb="FFC6A268"/>
        <bgColor indexed="64"/>
      </patternFill>
    </fill>
    <fill>
      <patternFill patternType="solid">
        <fgColor rgb="FFB49B7F"/>
        <bgColor indexed="64"/>
      </patternFill>
    </fill>
    <fill>
      <patternFill patternType="solid">
        <fgColor rgb="FFA9A082"/>
        <bgColor indexed="64"/>
      </patternFill>
    </fill>
    <fill>
      <patternFill patternType="solid">
        <fgColor rgb="FFC0AD5E"/>
        <bgColor indexed="64"/>
      </patternFill>
    </fill>
    <fill>
      <patternFill patternType="solid">
        <fgColor rgb="FF9C8D9B"/>
        <bgColor indexed="64"/>
      </patternFill>
    </fill>
    <fill>
      <patternFill patternType="solid">
        <fgColor rgb="FFA9A773"/>
        <bgColor indexed="64"/>
      </patternFill>
    </fill>
    <fill>
      <patternFill patternType="solid">
        <fgColor rgb="FFD99156"/>
        <bgColor indexed="64"/>
      </patternFill>
    </fill>
    <fill>
      <patternFill patternType="solid">
        <fgColor rgb="FF9D9D82"/>
        <bgColor indexed="64"/>
      </patternFill>
    </fill>
    <fill>
      <patternFill patternType="solid">
        <fgColor rgb="FFA29B7C"/>
        <bgColor indexed="64"/>
      </patternFill>
    </fill>
    <fill>
      <patternFill patternType="solid">
        <fgColor rgb="FFB49273"/>
        <bgColor indexed="64"/>
      </patternFill>
    </fill>
    <fill>
      <patternFill patternType="solid">
        <fgColor rgb="FFA99F70"/>
        <bgColor indexed="64"/>
      </patternFill>
    </fill>
    <fill>
      <patternFill patternType="solid">
        <fgColor rgb="FFA88787"/>
        <bgColor indexed="64"/>
      </patternFill>
    </fill>
    <fill>
      <patternFill patternType="solid">
        <fgColor rgb="FFCD7372"/>
        <bgColor indexed="64"/>
      </patternFill>
    </fill>
    <fill>
      <patternFill patternType="solid">
        <fgColor rgb="FF9D858F"/>
        <bgColor indexed="64"/>
      </patternFill>
    </fill>
    <fill>
      <patternFill patternType="solid">
        <fgColor rgb="FF8A988E"/>
        <bgColor indexed="64"/>
      </patternFill>
    </fill>
    <fill>
      <patternFill patternType="solid">
        <fgColor rgb="FF7D929F"/>
        <bgColor indexed="64"/>
      </patternFill>
    </fill>
    <fill>
      <patternFill patternType="solid">
        <fgColor rgb="FFBC836B"/>
        <bgColor indexed="64"/>
      </patternFill>
    </fill>
    <fill>
      <patternFill patternType="solid">
        <fgColor rgb="FFC89B40"/>
        <bgColor indexed="64"/>
      </patternFill>
    </fill>
    <fill>
      <patternFill patternType="solid">
        <fgColor rgb="FF91828F"/>
        <bgColor indexed="64"/>
      </patternFill>
    </fill>
    <fill>
      <patternFill patternType="solid">
        <fgColor rgb="FFBF9C46"/>
        <bgColor indexed="64"/>
      </patternFill>
    </fill>
    <fill>
      <patternFill patternType="solid">
        <fgColor rgb="FFB27777"/>
        <bgColor indexed="64"/>
      </patternFill>
    </fill>
    <fill>
      <patternFill patternType="solid">
        <fgColor rgb="FF86908A"/>
        <bgColor indexed="64"/>
      </patternFill>
    </fill>
    <fill>
      <patternFill patternType="solid">
        <fgColor rgb="FFA98175"/>
        <bgColor indexed="64"/>
      </patternFill>
    </fill>
    <fill>
      <patternFill patternType="solid">
        <fgColor rgb="FF9A8878"/>
        <bgColor indexed="64"/>
      </patternFill>
    </fill>
    <fill>
      <patternFill patternType="solid">
        <fgColor rgb="FF928187"/>
        <bgColor indexed="64"/>
      </patternFill>
    </fill>
    <fill>
      <patternFill patternType="solid">
        <fgColor rgb="FF919177"/>
        <bgColor indexed="64"/>
      </patternFill>
    </fill>
    <fill>
      <patternFill patternType="solid">
        <fgColor rgb="FF758A99"/>
        <bgColor indexed="64"/>
      </patternFill>
    </fill>
    <fill>
      <patternFill patternType="solid">
        <fgColor rgb="FF92897B"/>
        <bgColor indexed="64"/>
      </patternFill>
    </fill>
    <fill>
      <patternFill patternType="solid">
        <fgColor rgb="FF9E8C6B"/>
        <bgColor indexed="64"/>
      </patternFill>
    </fill>
    <fill>
      <patternFill patternType="solid">
        <fgColor rgb="FFBD8253"/>
        <bgColor indexed="64"/>
      </patternFill>
    </fill>
    <fill>
      <patternFill patternType="solid">
        <fgColor rgb="FFAA8E59"/>
        <bgColor indexed="64"/>
      </patternFill>
    </fill>
    <fill>
      <patternFill patternType="solid">
        <fgColor rgb="FFA58A5F"/>
        <bgColor indexed="64"/>
      </patternFill>
    </fill>
    <fill>
      <patternFill patternType="solid">
        <fgColor rgb="FF9E8368"/>
        <bgColor indexed="64"/>
      </patternFill>
    </fill>
    <fill>
      <patternFill patternType="solid">
        <fgColor rgb="FFAA9649"/>
        <bgColor indexed="64"/>
      </patternFill>
    </fill>
    <fill>
      <patternFill patternType="solid">
        <fgColor rgb="FF97846C"/>
        <bgColor indexed="64"/>
      </patternFill>
    </fill>
    <fill>
      <patternFill patternType="solid">
        <fgColor rgb="FFBE7E4A"/>
        <bgColor indexed="64"/>
      </patternFill>
    </fill>
    <fill>
      <patternFill patternType="solid">
        <fgColor rgb="FF92896B"/>
        <bgColor indexed="64"/>
      </patternFill>
    </fill>
    <fill>
      <patternFill patternType="solid">
        <fgColor rgb="FF99806C"/>
        <bgColor indexed="64"/>
      </patternFill>
    </fill>
    <fill>
      <patternFill patternType="solid">
        <fgColor rgb="FF918072"/>
        <bgColor indexed="64"/>
      </patternFill>
    </fill>
    <fill>
      <patternFill patternType="solid">
        <fgColor rgb="FF92905D"/>
        <bgColor indexed="64"/>
      </patternFill>
    </fill>
    <fill>
      <patternFill patternType="solid">
        <fgColor rgb="FFB26D5D"/>
        <bgColor indexed="64"/>
      </patternFill>
    </fill>
    <fill>
      <patternFill patternType="solid">
        <fgColor rgb="FF867E76"/>
        <bgColor indexed="64"/>
      </patternFill>
    </fill>
    <fill>
      <patternFill patternType="solid">
        <fgColor rgb="FF9E8358"/>
        <bgColor indexed="64"/>
      </patternFill>
    </fill>
    <fill>
      <patternFill patternType="solid">
        <fgColor rgb="FF70887D"/>
        <bgColor indexed="64"/>
      </patternFill>
    </fill>
    <fill>
      <patternFill patternType="solid">
        <fgColor rgb="FF847C74"/>
        <bgColor indexed="64"/>
      </patternFill>
    </fill>
    <fill>
      <patternFill patternType="solid">
        <fgColor rgb="FF9E696D"/>
        <bgColor indexed="64"/>
      </patternFill>
    </fill>
    <fill>
      <patternFill patternType="solid">
        <fgColor rgb="FF7A7B78"/>
        <bgColor indexed="64"/>
      </patternFill>
    </fill>
    <fill>
      <patternFill patternType="solid">
        <fgColor rgb="FF737C7B"/>
        <bgColor indexed="64"/>
      </patternFill>
    </fill>
    <fill>
      <patternFill patternType="solid">
        <fgColor rgb="FF79836C"/>
        <bgColor indexed="64"/>
      </patternFill>
    </fill>
    <fill>
      <patternFill patternType="solid">
        <fgColor rgb="FFA35F65"/>
        <bgColor indexed="64"/>
      </patternFill>
    </fill>
    <fill>
      <patternFill patternType="solid">
        <fgColor rgb="FF81776E"/>
        <bgColor indexed="64"/>
      </patternFill>
    </fill>
    <fill>
      <patternFill patternType="solid">
        <fgColor rgb="FF74787A"/>
        <bgColor indexed="64"/>
      </patternFill>
    </fill>
    <fill>
      <patternFill patternType="solid">
        <fgColor rgb="FF80766E"/>
        <bgColor indexed="64"/>
      </patternFill>
    </fill>
    <fill>
      <patternFill patternType="solid">
        <fgColor rgb="FF856D72"/>
        <bgColor indexed="64"/>
      </patternFill>
    </fill>
    <fill>
      <patternFill patternType="solid">
        <fgColor rgb="FFAA8534"/>
        <bgColor indexed="64"/>
      </patternFill>
    </fill>
    <fill>
      <patternFill patternType="solid">
        <fgColor rgb="FF7A7374"/>
        <bgColor indexed="64"/>
      </patternFill>
    </fill>
    <fill>
      <patternFill patternType="solid">
        <fgColor rgb="FFAA6A4C"/>
        <bgColor indexed="64"/>
      </patternFill>
    </fill>
    <fill>
      <patternFill patternType="solid">
        <fgColor rgb="FF8F6D5F"/>
        <bgColor indexed="64"/>
      </patternFill>
    </fill>
    <fill>
      <patternFill patternType="solid">
        <fgColor rgb="FF94784F"/>
        <bgColor indexed="64"/>
      </patternFill>
    </fill>
    <fill>
      <patternFill patternType="solid">
        <fgColor rgb="FF8E804B"/>
        <bgColor indexed="64"/>
      </patternFill>
    </fill>
    <fill>
      <patternFill patternType="solid">
        <fgColor rgb="FFA85858"/>
        <bgColor indexed="64"/>
      </patternFill>
    </fill>
    <fill>
      <patternFill patternType="solid">
        <fgColor rgb="FF877D52"/>
        <bgColor indexed="64"/>
      </patternFill>
    </fill>
    <fill>
      <patternFill patternType="solid">
        <fgColor rgb="FF887657"/>
        <bgColor indexed="64"/>
      </patternFill>
    </fill>
    <fill>
      <patternFill patternType="solid">
        <fgColor rgb="FF9A6655"/>
        <bgColor indexed="64"/>
      </patternFill>
    </fill>
    <fill>
      <patternFill patternType="solid">
        <fgColor rgb="FFA45F44"/>
        <bgColor indexed="64"/>
      </patternFill>
    </fill>
    <fill>
      <patternFill patternType="solid">
        <fgColor rgb="FF906C4A"/>
        <bgColor indexed="64"/>
      </patternFill>
    </fill>
    <fill>
      <patternFill patternType="solid">
        <fgColor rgb="FF617172"/>
        <bgColor indexed="64"/>
      </patternFill>
    </fill>
    <fill>
      <patternFill patternType="solid">
        <fgColor rgb="FF796860"/>
        <bgColor indexed="64"/>
      </patternFill>
    </fill>
    <fill>
      <patternFill patternType="solid">
        <fgColor rgb="FF7F754C"/>
        <bgColor indexed="64"/>
      </patternFill>
    </fill>
    <fill>
      <patternFill patternType="solid">
        <fgColor rgb="FF896D47"/>
        <bgColor indexed="64"/>
      </patternFill>
    </fill>
    <fill>
      <patternFill patternType="solid">
        <fgColor rgb="FF8B614D"/>
        <bgColor indexed="64"/>
      </patternFill>
    </fill>
    <fill>
      <patternFill patternType="solid">
        <fgColor rgb="FF686A67"/>
        <bgColor indexed="64"/>
      </patternFill>
    </fill>
    <fill>
      <patternFill patternType="solid">
        <fgColor rgb="FF815463"/>
        <bgColor indexed="64"/>
      </patternFill>
    </fill>
    <fill>
      <patternFill patternType="solid">
        <fgColor rgb="FF87723E"/>
        <bgColor indexed="64"/>
      </patternFill>
    </fill>
    <fill>
      <patternFill patternType="solid">
        <fgColor rgb="FF70695D"/>
        <bgColor indexed="64"/>
      </patternFill>
    </fill>
    <fill>
      <patternFill patternType="solid">
        <fgColor rgb="FF826B48"/>
        <bgColor indexed="64"/>
      </patternFill>
    </fill>
    <fill>
      <patternFill patternType="solid">
        <fgColor rgb="FF6A5B6D"/>
        <bgColor indexed="64"/>
      </patternFill>
    </fill>
    <fill>
      <patternFill patternType="solid">
        <fgColor rgb="FF955A42"/>
        <bgColor indexed="64"/>
      </patternFill>
    </fill>
    <fill>
      <patternFill patternType="solid">
        <fgColor rgb="FF896C39"/>
        <bgColor indexed="64"/>
      </patternFill>
    </fill>
    <fill>
      <patternFill patternType="solid">
        <fgColor rgb="FF5E616D"/>
        <bgColor indexed="64"/>
      </patternFill>
    </fill>
    <fill>
      <patternFill patternType="solid">
        <fgColor rgb="FF756C4B"/>
        <bgColor indexed="64"/>
      </patternFill>
    </fill>
    <fill>
      <patternFill patternType="solid">
        <fgColor rgb="FF576470"/>
        <bgColor indexed="64"/>
      </patternFill>
    </fill>
    <fill>
      <patternFill patternType="solid">
        <fgColor rgb="FF585878"/>
        <bgColor indexed="64"/>
      </patternFill>
    </fill>
    <fill>
      <patternFill patternType="solid">
        <fgColor rgb="FF75664D"/>
        <bgColor indexed="64"/>
      </patternFill>
    </fill>
    <fill>
      <patternFill patternType="solid">
        <fgColor rgb="FF76555D"/>
        <bgColor indexed="64"/>
      </patternFill>
    </fill>
    <fill>
      <patternFill patternType="solid">
        <fgColor rgb="FF975738"/>
        <bgColor indexed="64"/>
      </patternFill>
    </fill>
    <fill>
      <patternFill patternType="solid">
        <fgColor rgb="FF73575C"/>
        <bgColor indexed="64"/>
      </patternFill>
    </fill>
    <fill>
      <patternFill patternType="solid">
        <fgColor rgb="FFB7511D"/>
        <bgColor indexed="64"/>
      </patternFill>
    </fill>
    <fill>
      <patternFill patternType="solid">
        <fgColor rgb="FFB14B28"/>
        <bgColor indexed="64"/>
      </patternFill>
    </fill>
    <fill>
      <patternFill patternType="solid">
        <fgColor rgb="FF81663B"/>
        <bgColor indexed="64"/>
      </patternFill>
    </fill>
    <fill>
      <patternFill patternType="solid">
        <fgColor rgb="FF5D655F"/>
        <bgColor indexed="64"/>
      </patternFill>
    </fill>
    <fill>
      <patternFill patternType="solid">
        <fgColor rgb="FF986524"/>
        <bgColor indexed="64"/>
      </patternFill>
    </fill>
    <fill>
      <patternFill patternType="solid">
        <fgColor rgb="FF945833"/>
        <bgColor indexed="64"/>
      </patternFill>
    </fill>
    <fill>
      <patternFill patternType="solid">
        <fgColor rgb="FF945635"/>
        <bgColor indexed="64"/>
      </patternFill>
    </fill>
    <fill>
      <patternFill patternType="solid">
        <fgColor rgb="FFAE7000"/>
        <bgColor indexed="64"/>
      </patternFill>
    </fill>
    <fill>
      <patternFill patternType="solid">
        <fgColor rgb="FF7C623F"/>
        <bgColor indexed="64"/>
      </patternFill>
    </fill>
    <fill>
      <patternFill patternType="solid">
        <fgColor rgb="FF887322"/>
        <bgColor indexed="64"/>
      </patternFill>
    </fill>
    <fill>
      <patternFill patternType="solid">
        <fgColor rgb="FF984F31"/>
        <bgColor indexed="64"/>
      </patternFill>
    </fill>
    <fill>
      <patternFill patternType="solid">
        <fgColor rgb="FF6B5458"/>
        <bgColor indexed="64"/>
      </patternFill>
    </fill>
    <fill>
      <patternFill patternType="solid">
        <fgColor rgb="FF635F54"/>
        <bgColor indexed="64"/>
      </patternFill>
    </fill>
    <fill>
      <patternFill patternType="solid">
        <fgColor rgb="FF806332"/>
        <bgColor indexed="64"/>
      </patternFill>
    </fill>
    <fill>
      <patternFill patternType="solid">
        <fgColor rgb="FF7C5B3E"/>
        <bgColor indexed="64"/>
      </patternFill>
    </fill>
    <fill>
      <patternFill patternType="solid">
        <fgColor rgb="FF665757"/>
        <bgColor indexed="64"/>
      </patternFill>
    </fill>
    <fill>
      <patternFill patternType="solid">
        <fgColor rgb="FFB05F42"/>
        <bgColor indexed="64"/>
      </patternFill>
    </fill>
    <fill>
      <patternFill patternType="solid">
        <fgColor rgb="FF665F4D"/>
        <bgColor indexed="64"/>
      </patternFill>
    </fill>
    <fill>
      <patternFill patternType="solid">
        <fgColor rgb="FF685E48"/>
        <bgColor indexed="64"/>
      </patternFill>
    </fill>
    <fill>
      <patternFill patternType="solid">
        <fgColor rgb="FF495C69"/>
        <bgColor indexed="64"/>
      </patternFill>
    </fill>
    <fill>
      <patternFill patternType="solid">
        <fgColor rgb="FF867018"/>
        <bgColor indexed="64"/>
      </patternFill>
    </fill>
    <fill>
      <patternFill patternType="solid">
        <fgColor rgb="FF695E45"/>
        <bgColor indexed="64"/>
      </patternFill>
    </fill>
    <fill>
      <patternFill patternType="solid">
        <fgColor rgb="FF7C4449"/>
        <bgColor indexed="64"/>
      </patternFill>
    </fill>
    <fill>
      <patternFill patternType="solid">
        <fgColor rgb="FF8C4B31"/>
        <bgColor indexed="64"/>
      </patternFill>
    </fill>
    <fill>
      <patternFill patternType="solid">
        <fgColor rgb="FF876818"/>
        <bgColor indexed="64"/>
      </patternFill>
    </fill>
    <fill>
      <patternFill patternType="solid">
        <fgColor rgb="FF8A6913"/>
        <bgColor indexed="64"/>
      </patternFill>
    </fill>
    <fill>
      <patternFill patternType="solid">
        <fgColor rgb="FF6D5C3D"/>
        <bgColor indexed="64"/>
      </patternFill>
    </fill>
    <fill>
      <patternFill patternType="solid">
        <fgColor rgb="FF815F25"/>
        <bgColor indexed="64"/>
      </patternFill>
    </fill>
    <fill>
      <patternFill patternType="solid">
        <fgColor rgb="FF964D22"/>
        <bgColor indexed="64"/>
      </patternFill>
    </fill>
    <fill>
      <patternFill patternType="solid">
        <fgColor rgb="FF5C4F55"/>
        <bgColor indexed="64"/>
      </patternFill>
    </fill>
    <fill>
      <patternFill patternType="solid">
        <fgColor rgb="FF835E1D"/>
        <bgColor indexed="64"/>
      </patternFill>
    </fill>
    <fill>
      <patternFill patternType="solid">
        <fgColor rgb="FF475164"/>
        <bgColor indexed="64"/>
      </patternFill>
    </fill>
    <fill>
      <patternFill patternType="solid">
        <fgColor rgb="FF594C57"/>
        <bgColor indexed="64"/>
      </patternFill>
    </fill>
    <fill>
      <patternFill patternType="solid">
        <fgColor rgb="FF804C2E"/>
        <bgColor indexed="64"/>
      </patternFill>
    </fill>
    <fill>
      <patternFill patternType="solid">
        <fgColor rgb="FF81492C"/>
        <bgColor indexed="64"/>
      </patternFill>
    </fill>
    <fill>
      <patternFill patternType="solid">
        <fgColor rgb="FF827100"/>
        <bgColor indexed="64"/>
      </patternFill>
    </fill>
    <fill>
      <patternFill patternType="solid">
        <fgColor rgb="FF585248"/>
        <bgColor indexed="64"/>
      </patternFill>
    </fill>
    <fill>
      <patternFill patternType="solid">
        <fgColor rgb="FF72453A"/>
        <bgColor indexed="64"/>
      </patternFill>
    </fill>
    <fill>
      <patternFill patternType="solid">
        <fgColor rgb="FF6A5037"/>
        <bgColor indexed="64"/>
      </patternFill>
    </fill>
    <fill>
      <patternFill patternType="solid">
        <fgColor rgb="FF694B3C"/>
        <bgColor indexed="64"/>
      </patternFill>
    </fill>
    <fill>
      <patternFill patternType="solid">
        <fgColor rgb="FF813C33"/>
        <bgColor indexed="64"/>
      </patternFill>
    </fill>
    <fill>
      <patternFill patternType="solid">
        <fgColor rgb="FF954416"/>
        <bgColor indexed="64"/>
      </patternFill>
    </fill>
    <fill>
      <patternFill patternType="solid">
        <fgColor rgb="FF624941"/>
        <bgColor indexed="64"/>
      </patternFill>
    </fill>
    <fill>
      <patternFill patternType="solid">
        <fgColor rgb="FF64483D"/>
        <bgColor indexed="64"/>
      </patternFill>
    </fill>
    <fill>
      <patternFill patternType="solid">
        <fgColor rgb="FF873D24"/>
        <bgColor indexed="64"/>
      </patternFill>
    </fill>
    <fill>
      <patternFill patternType="solid">
        <fgColor rgb="FF773D31"/>
        <bgColor indexed="64"/>
      </patternFill>
    </fill>
    <fill>
      <patternFill patternType="solid">
        <fgColor rgb="FF644D31"/>
        <bgColor indexed="64"/>
      </patternFill>
    </fill>
    <fill>
      <patternFill patternType="solid">
        <fgColor rgb="FF5A4C3B"/>
        <bgColor indexed="64"/>
      </patternFill>
    </fill>
    <fill>
      <patternFill patternType="solid">
        <fgColor rgb="FF883A1E"/>
        <bgColor indexed="64"/>
      </patternFill>
    </fill>
    <fill>
      <patternFill patternType="solid">
        <fgColor rgb="FF9B4400"/>
        <bgColor indexed="64"/>
      </patternFill>
    </fill>
    <fill>
      <patternFill patternType="solid">
        <fgColor rgb="FF595333"/>
        <bgColor indexed="64"/>
      </patternFill>
    </fill>
    <fill>
      <patternFill patternType="solid">
        <fgColor rgb="FF474B4C"/>
        <bgColor indexed="64"/>
      </patternFill>
    </fill>
    <fill>
      <patternFill patternType="solid">
        <fgColor rgb="FF645822"/>
        <bgColor indexed="64"/>
      </patternFill>
    </fill>
    <fill>
      <patternFill patternType="solid">
        <fgColor rgb="FF47484C"/>
        <bgColor indexed="64"/>
      </patternFill>
    </fill>
    <fill>
      <patternFill patternType="solid">
        <fgColor rgb="FF5B423A"/>
        <bgColor indexed="64"/>
      </patternFill>
    </fill>
    <fill>
      <patternFill patternType="solid">
        <fgColor rgb="FF863020"/>
        <bgColor indexed="64"/>
      </patternFill>
    </fill>
    <fill>
      <patternFill patternType="solid">
        <fgColor rgb="FF66462A"/>
        <bgColor indexed="64"/>
      </patternFill>
    </fill>
    <fill>
      <patternFill patternType="solid">
        <fgColor rgb="FF3C4654"/>
        <bgColor indexed="64"/>
      </patternFill>
    </fill>
    <fill>
      <patternFill patternType="solid">
        <fgColor rgb="FF683632"/>
        <bgColor indexed="64"/>
      </patternFill>
    </fill>
    <fill>
      <patternFill patternType="solid">
        <fgColor rgb="FF8F3F00"/>
        <bgColor indexed="64"/>
      </patternFill>
    </fill>
    <fill>
      <patternFill patternType="solid">
        <fgColor rgb="FF603D30"/>
        <bgColor indexed="64"/>
      </patternFill>
    </fill>
    <fill>
      <patternFill patternType="solid">
        <fgColor rgb="FF45493D"/>
        <bgColor indexed="64"/>
      </patternFill>
    </fill>
    <fill>
      <patternFill patternType="solid">
        <fgColor rgb="FF444540"/>
        <bgColor indexed="64"/>
      </patternFill>
    </fill>
    <fill>
      <patternFill patternType="solid">
        <fgColor rgb="FF3D3B4F"/>
        <bgColor indexed="64"/>
      </patternFill>
    </fill>
    <fill>
      <patternFill patternType="solid">
        <fgColor rgb="FF7C4B00"/>
        <bgColor indexed="64"/>
      </patternFill>
    </fill>
    <fill>
      <patternFill patternType="solid">
        <fgColor rgb="FF5E5314"/>
        <bgColor indexed="64"/>
      </patternFill>
    </fill>
    <fill>
      <patternFill patternType="solid">
        <fgColor rgb="FF4F383E"/>
        <bgColor indexed="64"/>
      </patternFill>
    </fill>
    <fill>
      <patternFill patternType="solid">
        <fgColor rgb="FF71361D"/>
        <bgColor indexed="64"/>
      </patternFill>
    </fill>
    <fill>
      <patternFill patternType="solid">
        <fgColor rgb="FF46433B"/>
        <bgColor indexed="64"/>
      </patternFill>
    </fill>
    <fill>
      <patternFill patternType="solid">
        <fgColor rgb="FF862617"/>
        <bgColor indexed="64"/>
      </patternFill>
    </fill>
    <fill>
      <patternFill patternType="solid">
        <fgColor rgb="FF4F4032"/>
        <bgColor indexed="64"/>
      </patternFill>
    </fill>
    <fill>
      <patternFill patternType="solid">
        <fgColor rgb="FF4A4035"/>
        <bgColor indexed="64"/>
      </patternFill>
    </fill>
    <fill>
      <patternFill patternType="solid">
        <fgColor rgb="FF673424"/>
        <bgColor indexed="64"/>
      </patternFill>
    </fill>
    <fill>
      <patternFill patternType="solid">
        <fgColor rgb="FF4D4030"/>
        <bgColor indexed="64"/>
      </patternFill>
    </fill>
    <fill>
      <patternFill patternType="solid">
        <fgColor rgb="FF753117"/>
        <bgColor indexed="64"/>
      </patternFill>
    </fill>
    <fill>
      <patternFill patternType="solid">
        <fgColor rgb="FF5D3D21"/>
        <bgColor indexed="64"/>
      </patternFill>
    </fill>
    <fill>
      <patternFill patternType="solid">
        <fgColor rgb="FF503E2A"/>
        <bgColor indexed="64"/>
      </patternFill>
    </fill>
    <fill>
      <patternFill patternType="solid">
        <fgColor rgb="FF68361A"/>
        <bgColor indexed="64"/>
      </patternFill>
    </fill>
    <fill>
      <patternFill patternType="solid">
        <fgColor rgb="FF5B4913"/>
        <bgColor indexed="64"/>
      </patternFill>
    </fill>
    <fill>
      <patternFill patternType="solid">
        <fgColor rgb="FF584717"/>
        <bgColor indexed="64"/>
      </patternFill>
    </fill>
    <fill>
      <patternFill patternType="solid">
        <fgColor rgb="FF732E12"/>
        <bgColor indexed="64"/>
      </patternFill>
    </fill>
    <fill>
      <patternFill patternType="solid">
        <fgColor rgb="FF672E1D"/>
        <bgColor indexed="64"/>
      </patternFill>
    </fill>
    <fill>
      <patternFill patternType="solid">
        <fgColor rgb="FF584019"/>
        <bgColor indexed="64"/>
      </patternFill>
    </fill>
    <fill>
      <patternFill patternType="solid">
        <fgColor rgb="FF5B3222"/>
        <bgColor indexed="64"/>
      </patternFill>
    </fill>
    <fill>
      <patternFill patternType="solid">
        <fgColor rgb="FF692A1B"/>
        <bgColor indexed="64"/>
      </patternFill>
    </fill>
    <fill>
      <patternFill patternType="solid">
        <fgColor rgb="FF483332"/>
        <bgColor indexed="64"/>
      </patternFill>
    </fill>
    <fill>
      <patternFill patternType="solid">
        <fgColor rgb="FF513C20"/>
        <bgColor indexed="64"/>
      </patternFill>
    </fill>
    <fill>
      <patternFill patternType="solid">
        <fgColor rgb="FF5C3719"/>
        <bgColor indexed="64"/>
      </patternFill>
    </fill>
    <fill>
      <patternFill patternType="solid">
        <fgColor rgb="FF652B1C"/>
        <bgColor indexed="64"/>
      </patternFill>
    </fill>
    <fill>
      <patternFill patternType="solid">
        <fgColor rgb="FF493131"/>
        <bgColor indexed="64"/>
      </patternFill>
    </fill>
    <fill>
      <patternFill patternType="solid">
        <fgColor rgb="FF533C1B"/>
        <bgColor indexed="64"/>
      </patternFill>
    </fill>
    <fill>
      <patternFill patternType="solid">
        <fgColor rgb="FF553B18"/>
        <bgColor indexed="64"/>
      </patternFill>
    </fill>
    <fill>
      <patternFill patternType="solid">
        <fgColor rgb="FF482936"/>
        <bgColor indexed="64"/>
      </patternFill>
    </fill>
    <fill>
      <patternFill patternType="solid">
        <fgColor rgb="FF60281E"/>
        <bgColor indexed="64"/>
      </patternFill>
    </fill>
    <fill>
      <patternFill patternType="solid">
        <fgColor rgb="FF343041"/>
        <bgColor indexed="64"/>
      </patternFill>
    </fill>
    <fill>
      <patternFill patternType="solid">
        <fgColor rgb="FF35333C"/>
        <bgColor indexed="64"/>
      </patternFill>
    </fill>
    <fill>
      <patternFill patternType="solid">
        <fgColor rgb="FF373834"/>
        <bgColor indexed="64"/>
      </patternFill>
    </fill>
    <fill>
      <patternFill patternType="solid">
        <fgColor rgb="FF393733"/>
        <bgColor indexed="64"/>
      </patternFill>
    </fill>
    <fill>
      <patternFill patternType="solid">
        <fgColor rgb="FF592620"/>
        <bgColor indexed="64"/>
      </patternFill>
    </fill>
    <fill>
      <patternFill patternType="solid">
        <fgColor rgb="FF363433"/>
        <bgColor indexed="64"/>
      </patternFill>
    </fill>
    <fill>
      <patternFill patternType="solid">
        <fgColor rgb="FF2B333E"/>
        <bgColor indexed="64"/>
      </patternFill>
    </fill>
    <fill>
      <patternFill patternType="solid">
        <fgColor rgb="FF3F2E2D"/>
        <bgColor indexed="64"/>
      </patternFill>
    </fill>
    <fill>
      <patternFill patternType="solid">
        <fgColor rgb="FF2C2F3B"/>
        <bgColor indexed="64"/>
      </patternFill>
    </fill>
    <fill>
      <patternFill patternType="solid">
        <fgColor rgb="FF5A1F1B"/>
        <bgColor indexed="64"/>
      </patternFill>
    </fill>
    <fill>
      <patternFill patternType="solid">
        <fgColor rgb="FF2F2F35"/>
        <bgColor indexed="64"/>
      </patternFill>
    </fill>
    <fill>
      <patternFill patternType="solid">
        <fgColor rgb="FF5C1E19"/>
        <bgColor indexed="64"/>
      </patternFill>
    </fill>
    <fill>
      <patternFill patternType="solid">
        <fgColor rgb="FF2D2E36"/>
        <bgColor indexed="64"/>
      </patternFill>
    </fill>
    <fill>
      <patternFill patternType="solid">
        <fgColor rgb="FF482522"/>
        <bgColor indexed="64"/>
      </patternFill>
    </fill>
    <fill>
      <patternFill patternType="solid">
        <fgColor rgb="FF31322C"/>
        <bgColor indexed="64"/>
      </patternFill>
    </fill>
    <fill>
      <patternFill patternType="solid">
        <fgColor rgb="FF36292F"/>
        <bgColor indexed="64"/>
      </patternFill>
    </fill>
    <fill>
      <patternFill patternType="solid">
        <fgColor rgb="FF36282B"/>
        <bgColor indexed="64"/>
      </patternFill>
    </fill>
    <fill>
      <patternFill patternType="solid">
        <fgColor rgb="FF252A3A"/>
        <bgColor indexed="64"/>
      </patternFill>
    </fill>
    <fill>
      <patternFill patternType="solid">
        <fgColor rgb="FF4C221B"/>
        <bgColor indexed="64"/>
      </patternFill>
    </fill>
    <fill>
      <patternFill patternType="solid">
        <fgColor rgb="FF481E1C"/>
        <bgColor indexed="64"/>
      </patternFill>
    </fill>
    <fill>
      <patternFill patternType="solid">
        <fgColor rgb="FF422517"/>
        <bgColor indexed="64"/>
      </patternFill>
    </fill>
    <fill>
      <patternFill patternType="solid">
        <fgColor rgb="FF440E25"/>
        <bgColor indexed="64"/>
      </patternFill>
    </fill>
    <fill>
      <patternFill patternType="solid">
        <fgColor rgb="FF1E2732"/>
        <bgColor indexed="64"/>
      </patternFill>
    </fill>
    <fill>
      <patternFill patternType="solid">
        <fgColor rgb="FF312520"/>
        <bgColor indexed="64"/>
      </patternFill>
    </fill>
    <fill>
      <patternFill patternType="solid">
        <fgColor rgb="FF3C1414"/>
        <bgColor indexed="64"/>
      </patternFill>
    </fill>
    <fill>
      <patternFill patternType="solid">
        <fgColor rgb="FF2C2321"/>
        <bgColor indexed="64"/>
      </patternFill>
    </fill>
    <fill>
      <patternFill patternType="solid">
        <fgColor rgb="FF151D29"/>
        <bgColor indexed="64"/>
      </patternFill>
    </fill>
    <fill>
      <patternFill patternType="solid">
        <fgColor rgb="FF161823"/>
        <bgColor indexed="64"/>
      </patternFill>
    </fill>
    <fill>
      <patternFill patternType="solid">
        <fgColor rgb="FF1E150A"/>
        <bgColor indexed="64"/>
      </patternFill>
    </fill>
    <fill>
      <patternFill patternType="solid">
        <fgColor rgb="FF101615"/>
        <bgColor indexed="64"/>
      </patternFill>
    </fill>
    <fill>
      <patternFill patternType="solid">
        <fgColor rgb="FF160702"/>
        <bgColor indexed="64"/>
      </patternFill>
    </fill>
    <fill>
      <patternFill patternType="solid">
        <fgColor rgb="FF040201"/>
        <bgColor indexed="64"/>
      </patternFill>
    </fill>
    <fill>
      <patternFill patternType="solid">
        <fgColor rgb="FF100011"/>
        <bgColor indexed="64"/>
      </patternFill>
    </fill>
    <fill>
      <patternFill patternType="solid">
        <fgColor rgb="FFF2E7E5"/>
        <bgColor indexed="64"/>
      </patternFill>
    </fill>
    <fill>
      <patternFill patternType="solid">
        <fgColor rgb="FFEDE3E7"/>
        <bgColor indexed="64"/>
      </patternFill>
    </fill>
    <fill>
      <patternFill patternType="solid">
        <fgColor rgb="FFE9D7DF"/>
        <bgColor indexed="64"/>
      </patternFill>
    </fill>
    <fill>
      <patternFill patternType="solid">
        <fgColor rgb="FFE9CCD3"/>
        <bgColor indexed="64"/>
      </patternFill>
    </fill>
    <fill>
      <patternFill patternType="solid">
        <fgColor rgb="FFDCC7E1"/>
        <bgColor indexed="64"/>
      </patternFill>
    </fill>
    <fill>
      <patternFill patternType="solid">
        <fgColor rgb="FFE0C8D1"/>
        <bgColor indexed="64"/>
      </patternFill>
    </fill>
    <fill>
      <patternFill patternType="solid">
        <fgColor rgb="FFCCCCD6"/>
        <bgColor indexed="64"/>
      </patternFill>
    </fill>
    <fill>
      <patternFill patternType="solid">
        <fgColor rgb="FFD1C2D3"/>
        <bgColor indexed="64"/>
      </patternFill>
    </fill>
    <fill>
      <patternFill patternType="solid">
        <fgColor rgb="FFC8BBC9"/>
        <bgColor indexed="64"/>
      </patternFill>
    </fill>
    <fill>
      <patternFill patternType="solid">
        <fgColor rgb="FFC8ADC4"/>
        <bgColor indexed="64"/>
      </patternFill>
    </fill>
    <fill>
      <patternFill patternType="solid">
        <fgColor rgb="FFB0A4E3"/>
        <bgColor indexed="64"/>
      </patternFill>
    </fill>
    <fill>
      <patternFill patternType="solid">
        <fgColor rgb="FFBBA1CB"/>
        <bgColor indexed="64"/>
      </patternFill>
    </fill>
    <fill>
      <patternFill patternType="solid">
        <fgColor rgb="FFA4ABD6"/>
        <bgColor indexed="64"/>
      </patternFill>
    </fill>
    <fill>
      <patternFill patternType="solid">
        <fgColor rgb="FFCE93BF"/>
        <bgColor indexed="64"/>
      </patternFill>
    </fill>
    <fill>
      <patternFill patternType="solid">
        <fgColor rgb="FFA7A8BD"/>
        <bgColor indexed="64"/>
      </patternFill>
    </fill>
    <fill>
      <patternFill patternType="solid">
        <fgColor rgb="FFC08EAF"/>
        <bgColor indexed="64"/>
      </patternFill>
    </fill>
    <fill>
      <patternFill patternType="solid">
        <fgColor rgb="FFBC84A8"/>
        <bgColor indexed="64"/>
      </patternFill>
    </fill>
    <fill>
      <patternFill patternType="solid">
        <fgColor rgb="FFBA79B1"/>
        <bgColor indexed="64"/>
      </patternFill>
    </fill>
    <fill>
      <patternFill patternType="solid">
        <fgColor rgb="FFA67EB7"/>
        <bgColor indexed="64"/>
      </patternFill>
    </fill>
    <fill>
      <patternFill patternType="solid">
        <fgColor rgb="FF9B8EA9"/>
        <bgColor indexed="64"/>
      </patternFill>
    </fill>
    <fill>
      <patternFill patternType="solid">
        <fgColor rgb="FFC06F98"/>
        <bgColor indexed="64"/>
      </patternFill>
    </fill>
    <fill>
      <patternFill patternType="solid">
        <fgColor rgb="FF757CBB"/>
        <bgColor indexed="64"/>
      </patternFill>
    </fill>
    <fill>
      <patternFill patternType="solid">
        <fgColor rgb="FFAD6598"/>
        <bgColor indexed="64"/>
      </patternFill>
    </fill>
    <fill>
      <patternFill patternType="solid">
        <fgColor rgb="FF8076A3"/>
        <bgColor indexed="64"/>
      </patternFill>
    </fill>
    <fill>
      <patternFill patternType="solid">
        <fgColor rgb="FFA6559D"/>
        <bgColor indexed="64"/>
      </patternFill>
    </fill>
    <fill>
      <patternFill patternType="solid">
        <fgColor rgb="FFA35C8F"/>
        <bgColor indexed="64"/>
      </patternFill>
    </fill>
    <fill>
      <patternFill patternType="solid">
        <fgColor rgb="FFA76283"/>
        <bgColor indexed="64"/>
      </patternFill>
    </fill>
    <fill>
      <patternFill patternType="solid">
        <fgColor rgb="FF806D9E"/>
        <bgColor indexed="64"/>
      </patternFill>
    </fill>
    <fill>
      <patternFill patternType="solid">
        <fgColor rgb="FF74759B"/>
        <bgColor indexed="64"/>
      </patternFill>
    </fill>
    <fill>
      <patternFill patternType="solid">
        <fgColor rgb="FF7B59A3"/>
        <bgColor indexed="64"/>
      </patternFill>
    </fill>
    <fill>
      <patternFill patternType="solid">
        <fgColor rgb="FF995D7F"/>
        <bgColor indexed="64"/>
      </patternFill>
    </fill>
    <fill>
      <patternFill patternType="solid">
        <fgColor rgb="FF815C94"/>
        <bgColor indexed="64"/>
      </patternFill>
    </fill>
    <fill>
      <patternFill patternType="solid">
        <fgColor rgb="FF615EA8"/>
        <bgColor indexed="64"/>
      </patternFill>
    </fill>
    <fill>
      <patternFill patternType="solid">
        <fgColor rgb="FF61649F"/>
        <bgColor indexed="64"/>
      </patternFill>
    </fill>
    <fill>
      <patternFill patternType="solid">
        <fgColor rgb="FFBA2F7B"/>
        <bgColor indexed="64"/>
      </patternFill>
    </fill>
    <fill>
      <patternFill patternType="solid">
        <fgColor rgb="FFA8456B"/>
        <bgColor indexed="64"/>
      </patternFill>
    </fill>
    <fill>
      <patternFill patternType="solid">
        <fgColor rgb="FF6B6882"/>
        <bgColor indexed="64"/>
      </patternFill>
    </fill>
    <fill>
      <patternFill patternType="solid">
        <fgColor rgb="FF7D5284"/>
        <bgColor indexed="64"/>
      </patternFill>
    </fill>
    <fill>
      <patternFill patternType="solid">
        <fgColor rgb="FF725E82"/>
        <bgColor indexed="64"/>
      </patternFill>
    </fill>
    <fill>
      <patternFill patternType="solid">
        <fgColor rgb="FF7E527F"/>
        <bgColor indexed="64"/>
      </patternFill>
    </fill>
    <fill>
      <patternFill patternType="solid">
        <fgColor rgb="FF983680"/>
        <bgColor indexed="64"/>
      </patternFill>
    </fill>
    <fill>
      <patternFill patternType="solid">
        <fgColor rgb="FF3B2E7E"/>
        <bgColor indexed="64"/>
      </patternFill>
    </fill>
    <fill>
      <patternFill patternType="solid">
        <fgColor rgb="FF813C85"/>
        <bgColor indexed="64"/>
      </patternFill>
    </fill>
    <fill>
      <patternFill patternType="solid">
        <fgColor rgb="FF894276"/>
        <bgColor indexed="64"/>
      </patternFill>
    </fill>
    <fill>
      <patternFill patternType="solid">
        <fgColor rgb="FF4A4B9D"/>
        <bgColor indexed="64"/>
      </patternFill>
    </fill>
    <fill>
      <patternFill patternType="solid">
        <fgColor rgb="FF525288"/>
        <bgColor indexed="64"/>
      </patternFill>
    </fill>
    <fill>
      <patternFill patternType="solid">
        <fgColor rgb="FF814662"/>
        <bgColor indexed="64"/>
      </patternFill>
    </fill>
    <fill>
      <patternFill patternType="solid">
        <fgColor rgb="FF8C4356"/>
        <bgColor indexed="64"/>
      </patternFill>
    </fill>
    <fill>
      <patternFill patternType="solid">
        <fgColor rgb="FF8B2671"/>
        <bgColor indexed="64"/>
      </patternFill>
    </fill>
    <fill>
      <patternFill patternType="solid">
        <fgColor rgb="FF9B1E64"/>
        <bgColor indexed="64"/>
      </patternFill>
    </fill>
    <fill>
      <patternFill patternType="solid">
        <fgColor rgb="FF663D74"/>
        <bgColor indexed="64"/>
      </patternFill>
    </fill>
    <fill>
      <patternFill patternType="solid">
        <fgColor rgb="FF8A1874"/>
        <bgColor indexed="64"/>
      </patternFill>
    </fill>
    <fill>
      <patternFill patternType="solid">
        <fgColor rgb="FF7E1671"/>
        <bgColor indexed="64"/>
      </patternFill>
    </fill>
    <fill>
      <patternFill patternType="solid">
        <fgColor rgb="FF7E2065"/>
        <bgColor indexed="64"/>
      </patternFill>
    </fill>
    <fill>
      <patternFill patternType="solid">
        <fgColor rgb="FF643268"/>
        <bgColor indexed="64"/>
      </patternFill>
    </fill>
    <fill>
      <patternFill patternType="solid">
        <fgColor rgb="FF6C216D"/>
        <bgColor indexed="64"/>
      </patternFill>
    </fill>
    <fill>
      <patternFill patternType="solid">
        <fgColor rgb="FF951C48"/>
        <bgColor indexed="64"/>
      </patternFill>
    </fill>
    <fill>
      <patternFill patternType="solid">
        <fgColor rgb="FF425066"/>
        <bgColor indexed="64"/>
      </patternFill>
    </fill>
    <fill>
      <patternFill patternType="solid">
        <fgColor rgb="FF5D3F51"/>
        <bgColor indexed="64"/>
      </patternFill>
    </fill>
    <fill>
      <patternFill patternType="solid">
        <fgColor rgb="FF574266"/>
        <bgColor indexed="64"/>
      </patternFill>
    </fill>
    <fill>
      <patternFill patternType="solid">
        <fgColor rgb="FF2E317C"/>
        <bgColor indexed="64"/>
      </patternFill>
    </fill>
    <fill>
      <patternFill patternType="solid">
        <fgColor rgb="FF681752"/>
        <bgColor indexed="64"/>
      </patternFill>
    </fill>
    <fill>
      <patternFill patternType="solid">
        <fgColor rgb="FF602641"/>
        <bgColor indexed="64"/>
      </patternFill>
    </fill>
    <fill>
      <patternFill patternType="solid">
        <fgColor rgb="FF5D3131"/>
        <bgColor indexed="64"/>
      </patternFill>
    </fill>
    <fill>
      <patternFill patternType="solid">
        <fgColor rgb="FF422256"/>
        <bgColor indexed="64"/>
      </patternFill>
    </fill>
    <fill>
      <patternFill patternType="solid">
        <fgColor rgb="FF4E2A40"/>
        <bgColor indexed="64"/>
      </patternFill>
    </fill>
    <fill>
      <patternFill patternType="solid">
        <fgColor rgb="FF3E3841"/>
        <bgColor indexed="64"/>
      </patternFill>
    </fill>
    <fill>
      <patternFill patternType="solid">
        <fgColor rgb="FF621D34"/>
        <bgColor indexed="64"/>
      </patternFill>
    </fill>
    <fill>
      <patternFill patternType="solid">
        <fgColor rgb="FF302F4B"/>
        <bgColor indexed="64"/>
      </patternFill>
    </fill>
    <fill>
      <patternFill patternType="solid">
        <fgColor rgb="FF56004F"/>
        <bgColor indexed="64"/>
      </patternFill>
    </fill>
    <fill>
      <patternFill patternType="solid">
        <fgColor rgb="FF5C2223"/>
        <bgColor indexed="64"/>
      </patternFill>
    </fill>
    <fill>
      <patternFill patternType="solid">
        <fgColor rgb="FF322F3B"/>
        <bgColor indexed="64"/>
      </patternFill>
    </fill>
    <fill>
      <patternFill patternType="solid">
        <fgColor rgb="FF621624"/>
        <bgColor indexed="64"/>
      </patternFill>
    </fill>
    <fill>
      <patternFill patternType="solid">
        <fgColor rgb="FF4B1E2F"/>
        <bgColor indexed="64"/>
      </patternFill>
    </fill>
    <fill>
      <patternFill patternType="solid">
        <fgColor rgb="FF541E24"/>
        <bgColor indexed="64"/>
      </patternFill>
    </fill>
    <fill>
      <patternFill patternType="solid">
        <fgColor rgb="FF411C35"/>
        <bgColor indexed="64"/>
      </patternFill>
    </fill>
    <fill>
      <patternFill patternType="solid">
        <fgColor rgb="FF4C1F24"/>
        <bgColor indexed="64"/>
      </patternFill>
    </fill>
    <fill>
      <patternFill patternType="solid">
        <fgColor rgb="FF5A191B"/>
        <bgColor indexed="64"/>
      </patternFill>
    </fill>
    <fill>
      <patternFill patternType="solid">
        <fgColor rgb="FF63071C"/>
        <bgColor indexed="64"/>
      </patternFill>
    </fill>
    <fill>
      <patternFill patternType="solid">
        <fgColor rgb="FF461629"/>
        <bgColor indexed="64"/>
      </patternFill>
    </fill>
    <fill>
      <patternFill patternType="solid">
        <fgColor rgb="FF5A1216"/>
        <bgColor indexed="64"/>
      </patternFill>
    </fill>
    <fill>
      <patternFill patternType="solid">
        <fgColor rgb="FF382129"/>
        <bgColor indexed="64"/>
      </patternFill>
    </fill>
    <fill>
      <patternFill patternType="solid">
        <fgColor rgb="FF1F2040"/>
        <bgColor indexed="64"/>
      </patternFill>
    </fill>
    <fill>
      <patternFill patternType="solid">
        <fgColor rgb="FF420B2F"/>
        <bgColor indexed="64"/>
      </patternFill>
    </fill>
    <fill>
      <patternFill patternType="solid">
        <fgColor rgb="FF4D1018"/>
        <bgColor indexed="64"/>
      </patternFill>
    </fill>
    <fill>
      <patternFill patternType="solid">
        <fgColor rgb="FF22202E"/>
        <bgColor indexed="64"/>
      </patternFill>
    </fill>
    <fill>
      <patternFill patternType="solid">
        <fgColor rgb="FF500A16"/>
        <bgColor indexed="64"/>
      </patternFill>
    </fill>
    <fill>
      <patternFill patternType="solid">
        <fgColor rgb="FF33141E"/>
        <bgColor indexed="64"/>
      </patternFill>
    </fill>
    <fill>
      <patternFill patternType="solid">
        <fgColor rgb="FF30161C"/>
        <bgColor indexed="64"/>
      </patternFill>
    </fill>
    <fill>
      <patternFill patternType="solid">
        <fgColor rgb="FF310F1B"/>
        <bgColor indexed="64"/>
      </patternFill>
    </fill>
    <fill>
      <patternFill patternType="solid">
        <fgColor rgb="FF2B1216"/>
        <bgColor indexed="64"/>
      </patternFill>
    </fill>
    <fill>
      <patternFill patternType="solid">
        <fgColor rgb="FF1E131D"/>
        <bgColor indexed="64"/>
      </patternFill>
    </fill>
    <fill>
      <patternFill patternType="solid">
        <fgColor rgb="FF2D0C13"/>
        <bgColor indexed="64"/>
      </patternFill>
    </fill>
    <fill>
      <patternFill patternType="solid">
        <fgColor rgb="FF131124"/>
        <bgColor indexed="64"/>
      </patternFill>
    </fill>
    <fill>
      <patternFill patternType="solid">
        <fgColor rgb="FF1C0D1A"/>
        <bgColor indexed="64"/>
      </patternFill>
    </fill>
    <fill>
      <patternFill patternType="solid">
        <fgColor rgb="FFEEF7F2"/>
        <bgColor indexed="64"/>
      </patternFill>
    </fill>
    <fill>
      <patternFill patternType="solid">
        <fgColor rgb="FFE0F0E9"/>
        <bgColor indexed="64"/>
      </patternFill>
    </fill>
    <fill>
      <patternFill patternType="solid">
        <fgColor rgb="FFE0EEE8"/>
        <bgColor indexed="64"/>
      </patternFill>
    </fill>
    <fill>
      <patternFill patternType="solid">
        <fgColor rgb="FFD5EBE1"/>
        <bgColor indexed="64"/>
      </patternFill>
    </fill>
    <fill>
      <patternFill patternType="solid">
        <fgColor rgb="FFC0EBD7"/>
        <bgColor indexed="64"/>
      </patternFill>
    </fill>
    <fill>
      <patternFill patternType="solid">
        <fgColor rgb="FFB1D5C8"/>
        <bgColor indexed="64"/>
      </patternFill>
    </fill>
    <fill>
      <patternFill patternType="solid">
        <fgColor rgb="FFBBCDC5"/>
        <bgColor indexed="64"/>
      </patternFill>
    </fill>
    <fill>
      <patternFill patternType="solid">
        <fgColor rgb="FFBACAC6"/>
        <bgColor indexed="64"/>
      </patternFill>
    </fill>
    <fill>
      <patternFill patternType="solid">
        <fgColor rgb="FFA4C9CC"/>
        <bgColor indexed="64"/>
      </patternFill>
    </fill>
    <fill>
      <patternFill patternType="solid">
        <fgColor rgb="FF87C0CA"/>
        <bgColor indexed="64"/>
      </patternFill>
    </fill>
    <fill>
      <patternFill patternType="solid">
        <fgColor rgb="FF98B6C2"/>
        <bgColor indexed="64"/>
      </patternFill>
    </fill>
    <fill>
      <patternFill patternType="solid">
        <fgColor rgb="FF99BCAC"/>
        <bgColor indexed="64"/>
      </patternFill>
    </fill>
    <fill>
      <patternFill patternType="solid">
        <fgColor rgb="FF88BFB8"/>
        <bgColor indexed="64"/>
      </patternFill>
    </fill>
    <fill>
      <patternFill patternType="solid">
        <fgColor rgb="FF9EFCE8"/>
        <bgColor indexed="64"/>
      </patternFill>
    </fill>
    <fill>
      <patternFill patternType="solid">
        <fgColor rgb="FF51C4D3"/>
        <bgColor indexed="64"/>
      </patternFill>
    </fill>
    <fill>
      <patternFill patternType="solid">
        <fgColor rgb="FF57C3C2"/>
        <bgColor indexed="64"/>
      </patternFill>
    </fill>
    <fill>
      <patternFill patternType="solid">
        <fgColor rgb="FF88ADA6"/>
        <bgColor indexed="64"/>
      </patternFill>
    </fill>
    <fill>
      <patternFill patternType="solid">
        <fgColor rgb="FF7CABB1"/>
        <bgColor indexed="64"/>
      </patternFill>
    </fill>
    <fill>
      <patternFill patternType="solid">
        <fgColor rgb="FF7F9FAF"/>
        <bgColor indexed="64"/>
      </patternFill>
    </fill>
    <fill>
      <patternFill patternType="solid">
        <fgColor rgb="FF6CA8AF"/>
        <bgColor indexed="64"/>
      </patternFill>
    </fill>
    <fill>
      <patternFill patternType="solid">
        <fgColor rgb="FF869D9D"/>
        <bgColor indexed="64"/>
      </patternFill>
    </fill>
    <fill>
      <patternFill patternType="solid">
        <fgColor rgb="FF80A492"/>
        <bgColor indexed="64"/>
      </patternFill>
    </fill>
    <fill>
      <patternFill patternType="solid">
        <fgColor rgb="FF7397AB"/>
        <bgColor indexed="64"/>
      </patternFill>
    </fill>
    <fill>
      <patternFill patternType="solid">
        <fgColor rgb="FF5AA4AE"/>
        <bgColor indexed="64"/>
      </patternFill>
    </fill>
    <fill>
      <patternFill patternType="solid">
        <fgColor rgb="FF48C0A3"/>
        <bgColor indexed="64"/>
      </patternFill>
    </fill>
    <fill>
      <patternFill patternType="solid">
        <fgColor rgb="FF29B7CB"/>
        <bgColor indexed="64"/>
      </patternFill>
    </fill>
    <fill>
      <patternFill patternType="solid">
        <fgColor rgb="FF5DA39D"/>
        <bgColor indexed="64"/>
      </patternFill>
    </fill>
    <fill>
      <patternFill patternType="solid">
        <fgColor rgb="FF0EB0C9"/>
        <bgColor indexed="64"/>
      </patternFill>
    </fill>
    <fill>
      <patternFill patternType="solid">
        <fgColor rgb="FF648E93"/>
        <bgColor indexed="64"/>
      </patternFill>
    </fill>
    <fill>
      <patternFill patternType="solid">
        <fgColor rgb="FF10AEC2"/>
        <bgColor indexed="64"/>
      </patternFill>
    </fill>
    <fill>
      <patternFill patternType="solid">
        <fgColor rgb="FF668F8B"/>
        <bgColor indexed="64"/>
      </patternFill>
    </fill>
    <fill>
      <patternFill patternType="solid">
        <fgColor rgb="FF509296"/>
        <bgColor indexed="64"/>
      </patternFill>
    </fill>
    <fill>
      <patternFill patternType="solid">
        <fgColor rgb="FF1E9EB3"/>
        <bgColor indexed="64"/>
      </patternFill>
    </fill>
    <fill>
      <patternFill patternType="solid">
        <fgColor rgb="FF6B7D73"/>
        <bgColor indexed="64"/>
      </patternFill>
    </fill>
    <fill>
      <patternFill patternType="solid">
        <fgColor rgb="FF0F95B0"/>
        <bgColor indexed="64"/>
      </patternFill>
    </fill>
    <fill>
      <patternFill patternType="solid">
        <fgColor rgb="FF547689"/>
        <bgColor indexed="64"/>
      </patternFill>
    </fill>
    <fill>
      <patternFill patternType="solid">
        <fgColor rgb="FF3D8E86"/>
        <bgColor indexed="64"/>
      </patternFill>
    </fill>
    <fill>
      <patternFill patternType="solid">
        <fgColor rgb="FF1491A8"/>
        <bgColor indexed="64"/>
      </patternFill>
    </fill>
    <fill>
      <patternFill patternType="solid">
        <fgColor rgb="FF3B818C"/>
        <bgColor indexed="64"/>
      </patternFill>
    </fill>
    <fill>
      <patternFill patternType="solid">
        <fgColor rgb="FF32788A"/>
        <bgColor indexed="64"/>
      </patternFill>
    </fill>
    <fill>
      <patternFill patternType="solid">
        <fgColor rgb="FF108B96"/>
        <bgColor indexed="64"/>
      </patternFill>
    </fill>
    <fill>
      <patternFill patternType="solid">
        <fgColor rgb="FF426666"/>
        <bgColor indexed="64"/>
      </patternFill>
    </fill>
    <fill>
      <patternFill patternType="solid">
        <fgColor rgb="FF226B68"/>
        <bgColor indexed="64"/>
      </patternFill>
    </fill>
    <fill>
      <patternFill patternType="solid">
        <fgColor rgb="FF006D87"/>
        <bgColor indexed="64"/>
      </patternFill>
    </fill>
    <fill>
      <patternFill patternType="solid">
        <fgColor rgb="FF41555D"/>
        <bgColor indexed="64"/>
      </patternFill>
    </fill>
    <fill>
      <patternFill patternType="solid">
        <fgColor rgb="FF007175"/>
        <bgColor indexed="64"/>
      </patternFill>
    </fill>
    <fill>
      <patternFill patternType="solid">
        <fgColor rgb="FF3B5554"/>
        <bgColor indexed="64"/>
      </patternFill>
    </fill>
    <fill>
      <patternFill patternType="solid">
        <fgColor rgb="FF424C50"/>
        <bgColor indexed="64"/>
      </patternFill>
    </fill>
    <fill>
      <patternFill patternType="solid">
        <fgColor rgb="FF2BBABE"/>
        <bgColor indexed="64"/>
      </patternFill>
    </fill>
    <fill>
      <patternFill patternType="solid">
        <fgColor rgb="FF284852"/>
        <bgColor indexed="64"/>
      </patternFill>
    </fill>
    <fill>
      <patternFill patternType="solid">
        <fgColor rgb="FF13393E"/>
        <bgColor indexed="64"/>
      </patternFill>
    </fill>
    <fill>
      <patternFill patternType="solid">
        <fgColor rgb="FFF0F5E5"/>
        <bgColor indexed="64"/>
      </patternFill>
    </fill>
    <fill>
      <patternFill patternType="solid">
        <fgColor rgb="FFDFECD5"/>
        <bgColor indexed="64"/>
      </patternFill>
    </fill>
    <fill>
      <patternFill patternType="solid">
        <fgColor rgb="FFEDF1BB"/>
        <bgColor indexed="64"/>
      </patternFill>
    </fill>
    <fill>
      <patternFill patternType="solid">
        <fgColor rgb="FFD5E3D4"/>
        <bgColor indexed="64"/>
      </patternFill>
    </fill>
    <fill>
      <patternFill patternType="solid">
        <fgColor rgb="FFD4E2D4"/>
        <bgColor indexed="64"/>
      </patternFill>
    </fill>
    <fill>
      <patternFill patternType="solid">
        <fgColor rgb="FFE2E7BF"/>
        <bgColor indexed="64"/>
      </patternFill>
    </fill>
    <fill>
      <patternFill patternType="solid">
        <fgColor rgb="FFC6DFC8"/>
        <bgColor indexed="64"/>
      </patternFill>
    </fill>
    <fill>
      <patternFill patternType="solid">
        <fgColor rgb="FFCAD7C5"/>
        <bgColor indexed="64"/>
      </patternFill>
    </fill>
    <fill>
      <patternFill patternType="solid">
        <fgColor rgb="FFE3EB98"/>
        <bgColor indexed="64"/>
      </patternFill>
    </fill>
    <fill>
      <patternFill patternType="solid">
        <fgColor rgb="FFB9DEC9"/>
        <bgColor indexed="64"/>
      </patternFill>
    </fill>
    <fill>
      <patternFill patternType="solid">
        <fgColor rgb="FFCAD3C3"/>
        <bgColor indexed="64"/>
      </patternFill>
    </fill>
    <fill>
      <patternFill patternType="solid">
        <fgColor rgb="FFD0DEAA"/>
        <bgColor indexed="64"/>
      </patternFill>
    </fill>
    <fill>
      <patternFill patternType="solid">
        <fgColor rgb="FFBED2BB"/>
        <bgColor indexed="64"/>
      </patternFill>
    </fill>
    <fill>
      <patternFill patternType="solid">
        <fgColor rgb="FFD8DE8A"/>
        <bgColor indexed="64"/>
      </patternFill>
    </fill>
    <fill>
      <patternFill patternType="solid">
        <fgColor rgb="FFBECAB7"/>
        <bgColor indexed="64"/>
      </patternFill>
    </fill>
    <fill>
      <patternFill patternType="solid">
        <fgColor rgb="FFC0D09D"/>
        <bgColor indexed="64"/>
      </patternFill>
    </fill>
    <fill>
      <patternFill patternType="solid">
        <fgColor rgb="FFC0D695"/>
        <bgColor indexed="64"/>
      </patternFill>
    </fill>
    <fill>
      <patternFill patternType="solid">
        <fgColor rgb="FFD2D97A"/>
        <bgColor indexed="64"/>
      </patternFill>
    </fill>
    <fill>
      <patternFill patternType="solid">
        <fgColor rgb="FFA4CAB6"/>
        <bgColor indexed="64"/>
      </patternFill>
    </fill>
    <fill>
      <patternFill patternType="solid">
        <fgColor rgb="FFADD5A2"/>
        <bgColor indexed="64"/>
      </patternFill>
    </fill>
    <fill>
      <patternFill patternType="solid">
        <fgColor rgb="FFB3BDA9"/>
        <bgColor indexed="64"/>
      </patternFill>
    </fill>
    <fill>
      <patternFill patternType="solid">
        <fgColor rgb="FF7FECAD"/>
        <bgColor indexed="64"/>
      </patternFill>
    </fill>
    <fill>
      <patternFill patternType="solid">
        <fgColor rgb="FF9ECCAB"/>
        <bgColor indexed="64"/>
      </patternFill>
    </fill>
    <fill>
      <patternFill patternType="solid">
        <fgColor rgb="FFA6BAB1"/>
        <bgColor indexed="64"/>
      </patternFill>
    </fill>
    <fill>
      <patternFill patternType="solid">
        <fgColor rgb="FFCDD171"/>
        <bgColor indexed="64"/>
      </patternFill>
    </fill>
    <fill>
      <patternFill patternType="solid">
        <fgColor rgb="FFB2CF87"/>
        <bgColor indexed="64"/>
      </patternFill>
    </fill>
    <fill>
      <patternFill patternType="solid">
        <fgColor rgb="FF9ABEAF"/>
        <bgColor indexed="64"/>
      </patternFill>
    </fill>
    <fill>
      <patternFill patternType="solid">
        <fgColor rgb="FFB7D07A"/>
        <bgColor indexed="64"/>
      </patternFill>
    </fill>
    <fill>
      <patternFill patternType="solid">
        <fgColor rgb="FF83CBAC"/>
        <bgColor indexed="64"/>
      </patternFill>
    </fill>
    <fill>
      <patternFill patternType="solid">
        <fgColor rgb="FFA8BF8F"/>
        <bgColor indexed="64"/>
      </patternFill>
    </fill>
    <fill>
      <patternFill patternType="solid">
        <fgColor rgb="FFBACF65"/>
        <bgColor indexed="64"/>
      </patternFill>
    </fill>
    <fill>
      <patternFill patternType="solid">
        <fgColor rgb="FFA8B78C"/>
        <bgColor indexed="64"/>
      </patternFill>
    </fill>
    <fill>
      <patternFill patternType="solid">
        <fgColor rgb="FF92B3A5"/>
        <bgColor indexed="64"/>
      </patternFill>
    </fill>
    <fill>
      <patternFill patternType="solid">
        <fgColor rgb="FFC3D94E"/>
        <bgColor indexed="64"/>
      </patternFill>
    </fill>
    <fill>
      <patternFill patternType="solid">
        <fgColor rgb="FF9BB496"/>
        <bgColor indexed="64"/>
      </patternFill>
    </fill>
    <fill>
      <patternFill patternType="solid">
        <fgColor rgb="FFA9BE7B"/>
        <bgColor indexed="64"/>
      </patternFill>
    </fill>
    <fill>
      <patternFill patternType="solid">
        <fgColor rgb="FFA0C777"/>
        <bgColor indexed="64"/>
      </patternFill>
    </fill>
    <fill>
      <patternFill patternType="solid">
        <fgColor rgb="FF3DE1AD"/>
        <bgColor indexed="64"/>
      </patternFill>
    </fill>
    <fill>
      <patternFill patternType="solid">
        <fgColor rgb="FFC9DD22"/>
        <bgColor indexed="64"/>
      </patternFill>
    </fill>
    <fill>
      <patternFill patternType="solid">
        <fgColor rgb="FFBEC936"/>
        <bgColor indexed="64"/>
      </patternFill>
    </fill>
    <fill>
      <patternFill patternType="solid">
        <fgColor rgb="FFBDDD22"/>
        <bgColor indexed="64"/>
      </patternFill>
    </fill>
    <fill>
      <patternFill patternType="solid">
        <fgColor rgb="FFB7D332"/>
        <bgColor indexed="64"/>
      </patternFill>
    </fill>
    <fill>
      <patternFill patternType="solid">
        <fgColor rgb="FF96CE54"/>
        <bgColor indexed="64"/>
      </patternFill>
    </fill>
    <fill>
      <patternFill patternType="solid">
        <fgColor rgb="FF8CC269"/>
        <bgColor indexed="64"/>
      </patternFill>
    </fill>
    <fill>
      <patternFill patternType="solid">
        <fgColor rgb="FF83A78D"/>
        <bgColor indexed="64"/>
      </patternFill>
    </fill>
    <fill>
      <patternFill patternType="solid">
        <fgColor rgb="FF66C18C"/>
        <bgColor indexed="64"/>
      </patternFill>
    </fill>
    <fill>
      <patternFill patternType="solid">
        <fgColor rgb="FFAFDD22"/>
        <bgColor indexed="64"/>
      </patternFill>
    </fill>
    <fill>
      <patternFill patternType="solid">
        <fgColor rgb="FF68B88E"/>
        <bgColor indexed="64"/>
      </patternFill>
    </fill>
    <fill>
      <patternFill patternType="solid">
        <fgColor rgb="FF90A07D"/>
        <bgColor indexed="64"/>
      </patternFill>
    </fill>
    <fill>
      <patternFill patternType="solid">
        <fgColor rgb="FF819D8E"/>
        <bgColor indexed="64"/>
      </patternFill>
    </fill>
    <fill>
      <patternFill patternType="solid">
        <fgColor rgb="FF96C24E"/>
        <bgColor indexed="64"/>
      </patternFill>
    </fill>
    <fill>
      <patternFill patternType="solid">
        <fgColor rgb="FF5DBE8A"/>
        <bgColor indexed="64"/>
      </patternFill>
    </fill>
    <fill>
      <patternFill patternType="solid">
        <fgColor rgb="FF69A794"/>
        <bgColor indexed="64"/>
      </patternFill>
    </fill>
    <fill>
      <patternFill patternType="solid">
        <fgColor rgb="FF81A380"/>
        <bgColor indexed="64"/>
      </patternFill>
    </fill>
    <fill>
      <patternFill patternType="solid">
        <fgColor rgb="FF2ADD9C"/>
        <bgColor indexed="64"/>
      </patternFill>
    </fill>
    <fill>
      <patternFill patternType="solid">
        <fgColor rgb="FF98C446"/>
        <bgColor indexed="64"/>
      </patternFill>
    </fill>
    <fill>
      <patternFill patternType="solid">
        <fgColor rgb="FF55BB8A"/>
        <bgColor indexed="64"/>
      </patternFill>
    </fill>
    <fill>
      <patternFill patternType="solid">
        <fgColor rgb="FF61AC85"/>
        <bgColor indexed="64"/>
      </patternFill>
    </fill>
    <fill>
      <patternFill patternType="solid">
        <fgColor rgb="FF45B787"/>
        <bgColor indexed="64"/>
      </patternFill>
    </fill>
    <fill>
      <patternFill patternType="solid">
        <fgColor rgb="FF00E09E"/>
        <bgColor indexed="64"/>
      </patternFill>
    </fill>
    <fill>
      <patternFill patternType="solid">
        <fgColor rgb="FFA3D900"/>
        <bgColor indexed="64"/>
      </patternFill>
    </fill>
    <fill>
      <patternFill patternType="solid">
        <fgColor rgb="FF778A77"/>
        <bgColor indexed="64"/>
      </patternFill>
    </fill>
    <fill>
      <patternFill patternType="solid">
        <fgColor rgb="FF9EBC19"/>
        <bgColor indexed="64"/>
      </patternFill>
    </fill>
    <fill>
      <patternFill patternType="solid">
        <fgColor rgb="FF788A6F"/>
        <bgColor indexed="64"/>
      </patternFill>
    </fill>
    <fill>
      <patternFill patternType="solid">
        <fgColor rgb="FF938F4C"/>
        <bgColor indexed="64"/>
      </patternFill>
    </fill>
    <fill>
      <patternFill patternType="solid">
        <fgColor rgb="FF6E8B74"/>
        <bgColor indexed="64"/>
      </patternFill>
    </fill>
    <fill>
      <patternFill patternType="solid">
        <fgColor rgb="FF698E6A"/>
        <bgColor indexed="64"/>
      </patternFill>
    </fill>
    <fill>
      <patternFill patternType="solid">
        <fgColor rgb="FF868C4E"/>
        <bgColor indexed="64"/>
      </patternFill>
    </fill>
    <fill>
      <patternFill patternType="solid">
        <fgColor rgb="FF769C4C"/>
        <bgColor indexed="64"/>
      </patternFill>
    </fill>
    <fill>
      <patternFill patternType="solid">
        <fgColor rgb="FF2BAE85"/>
        <bgColor indexed="64"/>
      </patternFill>
    </fill>
    <fill>
      <patternFill patternType="solid">
        <fgColor rgb="FF579572"/>
        <bgColor indexed="64"/>
      </patternFill>
    </fill>
    <fill>
      <patternFill patternType="solid">
        <fgColor rgb="FF519673"/>
        <bgColor indexed="64"/>
      </patternFill>
    </fill>
    <fill>
      <patternFill patternType="solid">
        <fgColor rgb="FF12AA9C"/>
        <bgColor indexed="64"/>
      </patternFill>
    </fill>
    <fill>
      <patternFill patternType="solid">
        <fgColor rgb="FF68945C"/>
        <bgColor indexed="64"/>
      </patternFill>
    </fill>
    <fill>
      <patternFill patternType="solid">
        <fgColor rgb="FF779649"/>
        <bgColor indexed="64"/>
      </patternFill>
    </fill>
    <fill>
      <patternFill patternType="solid">
        <fgColor rgb="FF84A729"/>
        <bgColor indexed="64"/>
      </patternFill>
    </fill>
    <fill>
      <patternFill patternType="solid">
        <fgColor rgb="FF7DA32D"/>
        <bgColor indexed="64"/>
      </patternFill>
    </fill>
    <fill>
      <patternFill patternType="solid">
        <fgColor rgb="FF63A545"/>
        <bgColor indexed="64"/>
      </patternFill>
    </fill>
    <fill>
      <patternFill patternType="solid">
        <fgColor rgb="FF6A8D52"/>
        <bgColor indexed="64"/>
      </patternFill>
    </fill>
    <fill>
      <patternFill patternType="solid">
        <fgColor rgb="FF1BA784"/>
        <bgColor indexed="64"/>
      </patternFill>
    </fill>
    <fill>
      <patternFill patternType="solid">
        <fgColor rgb="FF6C8650"/>
        <bgColor indexed="64"/>
      </patternFill>
    </fill>
    <fill>
      <patternFill patternType="solid">
        <fgColor rgb="FF5F766A"/>
        <bgColor indexed="64"/>
      </patternFill>
    </fill>
    <fill>
      <patternFill patternType="solid">
        <fgColor rgb="FF428675"/>
        <bgColor indexed="64"/>
      </patternFill>
    </fill>
    <fill>
      <patternFill patternType="solid">
        <fgColor rgb="FF41B349"/>
        <bgColor indexed="64"/>
      </patternFill>
    </fill>
    <fill>
      <patternFill patternType="solid">
        <fgColor rgb="FF21A675"/>
        <bgColor indexed="64"/>
      </patternFill>
    </fill>
    <fill>
      <patternFill patternType="solid">
        <fgColor rgb="FF2C9678"/>
        <bgColor indexed="64"/>
      </patternFill>
    </fill>
    <fill>
      <patternFill patternType="solid">
        <fgColor rgb="FF43B244"/>
        <bgColor indexed="64"/>
      </patternFill>
    </fill>
    <fill>
      <patternFill patternType="solid">
        <fgColor rgb="FF3C9566"/>
        <bgColor indexed="64"/>
      </patternFill>
    </fill>
    <fill>
      <patternFill patternType="solid">
        <fgColor rgb="FF12A182"/>
        <bgColor indexed="64"/>
      </patternFill>
    </fill>
    <fill>
      <patternFill patternType="solid">
        <fgColor rgb="FF00A48D"/>
        <bgColor indexed="64"/>
      </patternFill>
    </fill>
    <fill>
      <patternFill patternType="solid">
        <fgColor rgb="FF5D8351"/>
        <bgColor indexed="64"/>
      </patternFill>
    </fill>
    <fill>
      <patternFill patternType="solid">
        <fgColor rgb="FF298A7C"/>
        <bgColor indexed="64"/>
      </patternFill>
    </fill>
    <fill>
      <patternFill patternType="solid">
        <fgColor rgb="FF5BAE23"/>
        <bgColor indexed="64"/>
      </patternFill>
    </fill>
    <fill>
      <patternFill patternType="solid">
        <fgColor rgb="FF41AE3C"/>
        <bgColor indexed="64"/>
      </patternFill>
    </fill>
    <fill>
      <patternFill patternType="solid">
        <fgColor rgb="FF5D7259"/>
        <bgColor indexed="64"/>
      </patternFill>
    </fill>
    <fill>
      <patternFill patternType="solid">
        <fgColor rgb="FF497568"/>
        <bgColor indexed="64"/>
      </patternFill>
    </fill>
    <fill>
      <patternFill patternType="solid">
        <fgColor rgb="FF20A162"/>
        <bgColor indexed="64"/>
      </patternFill>
    </fill>
    <fill>
      <patternFill patternType="solid">
        <fgColor rgb="FF5E665B"/>
        <bgColor indexed="64"/>
      </patternFill>
    </fill>
    <fill>
      <patternFill patternType="solid">
        <fgColor rgb="FF4F8045"/>
        <bgColor indexed="64"/>
      </patternFill>
    </fill>
    <fill>
      <patternFill patternType="solid">
        <fgColor rgb="FF4F794A"/>
        <bgColor indexed="64"/>
      </patternFill>
    </fill>
    <fill>
      <patternFill patternType="solid">
        <fgColor rgb="FF248067"/>
        <bgColor indexed="64"/>
      </patternFill>
    </fill>
    <fill>
      <patternFill patternType="solid">
        <fgColor rgb="FF229453"/>
        <bgColor indexed="64"/>
      </patternFill>
    </fill>
    <fill>
      <patternFill patternType="solid">
        <fgColor rgb="FF22AC38"/>
        <bgColor indexed="64"/>
      </patternFill>
    </fill>
    <fill>
      <patternFill patternType="solid">
        <fgColor rgb="FF4F6F46"/>
        <bgColor indexed="64"/>
      </patternFill>
    </fill>
    <fill>
      <patternFill patternType="solid">
        <fgColor rgb="FF555F4D"/>
        <bgColor indexed="64"/>
      </patternFill>
    </fill>
    <fill>
      <patternFill patternType="solid">
        <fgColor rgb="FF4E6548"/>
        <bgColor indexed="64"/>
      </patternFill>
    </fill>
    <fill>
      <patternFill patternType="solid">
        <fgColor rgb="FF0AA344"/>
        <bgColor indexed="64"/>
      </patternFill>
    </fill>
    <fill>
      <patternFill patternType="solid">
        <fgColor rgb="FF20894D"/>
        <bgColor indexed="64"/>
      </patternFill>
    </fill>
    <fill>
      <patternFill patternType="solid">
        <fgColor rgb="FF485B4D"/>
        <bgColor indexed="64"/>
      </patternFill>
    </fill>
    <fill>
      <patternFill patternType="solid">
        <fgColor rgb="FF207F4C"/>
        <bgColor indexed="64"/>
      </patternFill>
    </fill>
    <fill>
      <patternFill patternType="solid">
        <fgColor rgb="FF446A37"/>
        <bgColor indexed="64"/>
      </patternFill>
    </fill>
    <fill>
      <patternFill patternType="solid">
        <fgColor rgb="FF176F58"/>
        <bgColor indexed="64"/>
      </patternFill>
    </fill>
    <fill>
      <patternFill patternType="solid">
        <fgColor rgb="FF2A6E3F"/>
        <bgColor indexed="64"/>
      </patternFill>
    </fill>
    <fill>
      <patternFill patternType="solid">
        <fgColor rgb="FF3F503B"/>
        <bgColor indexed="64"/>
      </patternFill>
    </fill>
    <fill>
      <patternFill patternType="solid">
        <fgColor rgb="FF057748"/>
        <bgColor indexed="64"/>
      </patternFill>
    </fill>
    <fill>
      <patternFill patternType="solid">
        <fgColor rgb="FF1A6840"/>
        <bgColor indexed="64"/>
      </patternFill>
    </fill>
    <fill>
      <patternFill patternType="solid">
        <fgColor rgb="FF223E36"/>
        <bgColor indexed="64"/>
      </patternFill>
    </fill>
    <fill>
      <patternFill patternType="solid">
        <fgColor rgb="FF2B312C"/>
        <bgColor indexed="64"/>
      </patternFill>
    </fill>
    <fill>
      <patternFill patternType="solid">
        <fgColor rgb="FF1A3B32"/>
        <bgColor indexed="64"/>
      </patternFill>
    </fill>
    <fill>
      <patternFill patternType="solid">
        <fgColor rgb="FF253D24"/>
        <bgColor indexed="64"/>
      </patternFill>
    </fill>
    <fill>
      <patternFill patternType="solid">
        <fgColor rgb="FF1F2623"/>
        <bgColor indexed="64"/>
      </patternFill>
    </fill>
    <fill>
      <patternFill patternType="solid">
        <fgColor rgb="FF141E1B"/>
        <bgColor indexed="64"/>
      </patternFill>
    </fill>
    <fill>
      <patternFill patternType="solid">
        <fgColor rgb="FF15231B"/>
        <bgColor indexed="64"/>
      </patternFill>
    </fill>
    <fill>
      <patternFill patternType="solid">
        <fgColor rgb="FFFFFBC7"/>
        <bgColor indexed="64"/>
      </patternFill>
    </fill>
    <fill>
      <patternFill patternType="solid">
        <fgColor rgb="FFF9ECC3"/>
        <bgColor indexed="64"/>
      </patternFill>
    </fill>
    <fill>
      <patternFill patternType="solid">
        <fgColor rgb="FFF2E6CE"/>
        <bgColor indexed="64"/>
      </patternFill>
    </fill>
    <fill>
      <patternFill patternType="solid">
        <fgColor rgb="FFF8E8C1"/>
        <bgColor indexed="64"/>
      </patternFill>
    </fill>
    <fill>
      <patternFill patternType="solid">
        <fgColor rgb="FFECEBC2"/>
        <bgColor indexed="64"/>
      </patternFill>
    </fill>
    <fill>
      <patternFill patternType="solid">
        <fgColor rgb="FFF7EEAD"/>
        <bgColor indexed="64"/>
      </patternFill>
    </fill>
    <fill>
      <patternFill patternType="solid">
        <fgColor rgb="FFFFF799"/>
        <bgColor indexed="64"/>
      </patternFill>
    </fill>
    <fill>
      <patternFill patternType="solid">
        <fgColor rgb="FFF8E0B0"/>
        <bgColor indexed="64"/>
      </patternFill>
    </fill>
    <fill>
      <patternFill patternType="solid">
        <fgColor rgb="FFF6DEAD"/>
        <bgColor indexed="64"/>
      </patternFill>
    </fill>
    <fill>
      <patternFill patternType="solid">
        <fgColor rgb="FFEEDEB0"/>
        <bgColor indexed="64"/>
      </patternFill>
    </fill>
    <fill>
      <patternFill patternType="solid">
        <fgColor rgb="FFEBE1A9"/>
        <bgColor indexed="64"/>
      </patternFill>
    </fill>
    <fill>
      <patternFill patternType="solid">
        <fgColor rgb="FFF7DE98"/>
        <bgColor indexed="64"/>
      </patternFill>
    </fill>
    <fill>
      <patternFill patternType="solid">
        <fgColor rgb="FFFAFF72"/>
        <bgColor indexed="64"/>
      </patternFill>
    </fill>
    <fill>
      <patternFill patternType="solid">
        <fgColor rgb="FFF7DA94"/>
        <bgColor indexed="64"/>
      </patternFill>
    </fill>
    <fill>
      <patternFill patternType="solid">
        <fgColor rgb="FFFDF371"/>
        <bgColor indexed="64"/>
      </patternFill>
    </fill>
    <fill>
      <patternFill patternType="solid">
        <fgColor rgb="FFECE093"/>
        <bgColor indexed="64"/>
      </patternFill>
    </fill>
    <fill>
      <patternFill patternType="solid">
        <fgColor rgb="FFF9F172"/>
        <bgColor indexed="64"/>
      </patternFill>
    </fill>
    <fill>
      <patternFill patternType="solid">
        <fgColor rgb="FFFFEE6F"/>
        <bgColor indexed="64"/>
      </patternFill>
    </fill>
    <fill>
      <patternFill patternType="solid">
        <fgColor rgb="FFF0D695"/>
        <bgColor indexed="64"/>
      </patternFill>
    </fill>
    <fill>
      <patternFill patternType="solid">
        <fgColor rgb="FFFCE56C"/>
        <bgColor indexed="64"/>
      </patternFill>
    </fill>
    <fill>
      <patternFill patternType="solid">
        <fgColor rgb="FFF8DF72"/>
        <bgColor indexed="64"/>
      </patternFill>
    </fill>
    <fill>
      <patternFill patternType="solid">
        <fgColor rgb="FFF9D27D"/>
        <bgColor indexed="64"/>
      </patternFill>
    </fill>
    <fill>
      <patternFill patternType="solid">
        <fgColor rgb="FFF8DF70"/>
        <bgColor indexed="64"/>
      </patternFill>
    </fill>
    <fill>
      <patternFill patternType="solid">
        <fgColor rgb="FFF9D770"/>
        <bgColor indexed="64"/>
      </patternFill>
    </fill>
    <fill>
      <patternFill patternType="solid">
        <fgColor rgb="FFEAFF56"/>
        <bgColor indexed="64"/>
      </patternFill>
    </fill>
    <fill>
      <patternFill patternType="solid">
        <fgColor rgb="FFF8D86A"/>
        <bgColor indexed="64"/>
      </patternFill>
    </fill>
    <fill>
      <patternFill patternType="solid">
        <fgColor rgb="FFE1D384"/>
        <bgColor indexed="64"/>
      </patternFill>
    </fill>
    <fill>
      <patternFill patternType="solid">
        <fgColor rgb="FFFEDC5E"/>
        <bgColor indexed="64"/>
      </patternFill>
    </fill>
    <fill>
      <patternFill patternType="solid">
        <fgColor rgb="FFF9D367"/>
        <bgColor indexed="64"/>
      </patternFill>
    </fill>
    <fill>
      <patternFill patternType="solid">
        <fgColor rgb="FFFEDA5A"/>
        <bgColor indexed="64"/>
      </patternFill>
    </fill>
    <fill>
      <patternFill patternType="solid">
        <fgColor rgb="FFEACD76"/>
        <bgColor indexed="64"/>
      </patternFill>
    </fill>
    <fill>
      <patternFill patternType="solid">
        <fgColor rgb="FFFFEF3F"/>
        <bgColor indexed="64"/>
      </patternFill>
    </fill>
    <fill>
      <patternFill patternType="solid">
        <fgColor rgb="FFE1D279"/>
        <bgColor indexed="64"/>
      </patternFill>
    </fill>
    <fill>
      <patternFill patternType="solid">
        <fgColor rgb="FFF4CE69"/>
        <bgColor indexed="64"/>
      </patternFill>
    </fill>
    <fill>
      <patternFill patternType="solid">
        <fgColor rgb="FFF2C867"/>
        <bgColor indexed="64"/>
      </patternFill>
    </fill>
    <fill>
      <patternFill patternType="solid">
        <fgColor rgb="FFE2C17C"/>
        <bgColor indexed="64"/>
      </patternFill>
    </fill>
    <fill>
      <patternFill patternType="solid">
        <fgColor rgb="FFFBC95A"/>
        <bgColor indexed="64"/>
      </patternFill>
    </fill>
    <fill>
      <patternFill patternType="solid">
        <fgColor rgb="FFDDC871"/>
        <bgColor indexed="64"/>
      </patternFill>
    </fill>
    <fill>
      <patternFill patternType="solid">
        <fgColor rgb="FFFBDA41"/>
        <bgColor indexed="64"/>
      </patternFill>
    </fill>
    <fill>
      <patternFill patternType="solid">
        <fgColor rgb="FFECD452"/>
        <bgColor indexed="64"/>
      </patternFill>
    </fill>
    <fill>
      <patternFill patternType="solid">
        <fgColor rgb="FFFCD337"/>
        <bgColor indexed="64"/>
      </patternFill>
    </fill>
    <fill>
      <patternFill patternType="solid">
        <fgColor rgb="FFE2D849"/>
        <bgColor indexed="64"/>
      </patternFill>
    </fill>
    <fill>
      <patternFill patternType="solid">
        <fgColor rgb="FFEED045"/>
        <bgColor indexed="64"/>
      </patternFill>
    </fill>
    <fill>
      <patternFill patternType="solid">
        <fgColor rgb="FFF8B751"/>
        <bgColor indexed="64"/>
      </patternFill>
    </fill>
    <fill>
      <patternFill patternType="solid">
        <fgColor rgb="FFF3BF4C"/>
        <bgColor indexed="64"/>
      </patternFill>
    </fill>
    <fill>
      <patternFill patternType="solid">
        <fgColor rgb="FFFBCD31"/>
        <bgColor indexed="64"/>
      </patternFill>
    </fill>
    <fill>
      <patternFill patternType="solid">
        <fgColor rgb="FFF2BE45"/>
        <bgColor indexed="64"/>
      </patternFill>
    </fill>
    <fill>
      <patternFill patternType="solid">
        <fgColor rgb="FFFBC82F"/>
        <bgColor indexed="64"/>
      </patternFill>
    </fill>
    <fill>
      <patternFill patternType="solid">
        <fgColor rgb="FFFED71A"/>
        <bgColor indexed="64"/>
      </patternFill>
    </fill>
    <fill>
      <patternFill patternType="solid">
        <fgColor rgb="FFCAB272"/>
        <bgColor indexed="64"/>
      </patternFill>
    </fill>
    <fill>
      <patternFill patternType="solid">
        <fgColor rgb="FFE5B751"/>
        <bgColor indexed="64"/>
      </patternFill>
    </fill>
    <fill>
      <patternFill patternType="solid">
        <fgColor rgb="FFECB34D"/>
        <bgColor indexed="64"/>
      </patternFill>
    </fill>
    <fill>
      <patternFill patternType="solid">
        <fgColor rgb="FFF2CE2B"/>
        <bgColor indexed="64"/>
      </patternFill>
    </fill>
    <fill>
      <patternFill patternType="solid">
        <fgColor rgb="FFF6C430"/>
        <bgColor indexed="64"/>
      </patternFill>
    </fill>
    <fill>
      <patternFill patternType="solid">
        <fgColor rgb="FFF8BC31"/>
        <bgColor indexed="64"/>
      </patternFill>
    </fill>
    <fill>
      <patternFill patternType="solid">
        <fgColor rgb="FFFCD217"/>
        <bgColor indexed="64"/>
      </patternFill>
    </fill>
    <fill>
      <patternFill patternType="solid">
        <fgColor rgb="FFDFC243"/>
        <bgColor indexed="64"/>
      </patternFill>
    </fill>
    <fill>
      <patternFill patternType="solid">
        <fgColor rgb="FFD2A36C"/>
        <bgColor indexed="64"/>
      </patternFill>
    </fill>
    <fill>
      <patternFill patternType="solid">
        <fgColor rgb="FFFED110"/>
        <bgColor indexed="64"/>
      </patternFill>
    </fill>
    <fill>
      <patternFill patternType="solid">
        <fgColor rgb="FFFBB929"/>
        <bgColor indexed="64"/>
      </patternFill>
    </fill>
    <fill>
      <patternFill patternType="solid">
        <fgColor rgb="FFFCCB16"/>
        <bgColor indexed="64"/>
      </patternFill>
    </fill>
    <fill>
      <patternFill patternType="solid">
        <fgColor rgb="FFFECC11"/>
        <bgColor indexed="64"/>
      </patternFill>
    </fill>
    <fill>
      <patternFill patternType="solid">
        <fgColor rgb="FFE5A84B"/>
        <bgColor indexed="64"/>
      </patternFill>
    </fill>
    <fill>
      <patternFill patternType="solid">
        <fgColor rgb="FFFCC515"/>
        <bgColor indexed="64"/>
      </patternFill>
    </fill>
    <fill>
      <patternFill patternType="solid">
        <fgColor rgb="FFFFC90C"/>
        <bgColor indexed="64"/>
      </patternFill>
    </fill>
    <fill>
      <patternFill patternType="solid">
        <fgColor rgb="FFF1CA17"/>
        <bgColor indexed="64"/>
      </patternFill>
    </fill>
    <fill>
      <patternFill patternType="solid">
        <fgColor rgb="FFF9C116"/>
        <bgColor indexed="64"/>
      </patternFill>
    </fill>
    <fill>
      <patternFill patternType="solid">
        <fgColor rgb="FFECB42F"/>
        <bgColor indexed="64"/>
      </patternFill>
    </fill>
    <fill>
      <patternFill patternType="solid">
        <fgColor rgb="FFE2C027"/>
        <bgColor indexed="64"/>
      </patternFill>
    </fill>
    <fill>
      <patternFill patternType="solid">
        <fgColor rgb="FFF9BD10"/>
        <bgColor indexed="64"/>
      </patternFill>
    </fill>
    <fill>
      <patternFill patternType="solid">
        <fgColor rgb="FFFCC307"/>
        <bgColor indexed="64"/>
      </patternFill>
    </fill>
    <fill>
      <patternFill patternType="solid">
        <fgColor rgb="FFFBB612"/>
        <bgColor indexed="64"/>
      </patternFill>
    </fill>
    <fill>
      <patternFill patternType="solid">
        <fgColor rgb="FFF9C600"/>
        <bgColor indexed="64"/>
      </patternFill>
    </fill>
    <fill>
      <patternFill patternType="solid">
        <fgColor rgb="FFFEBA07"/>
        <bgColor indexed="64"/>
      </patternFill>
    </fill>
    <fill>
      <patternFill patternType="solid">
        <fgColor rgb="FFF49D2D"/>
        <bgColor indexed="64"/>
      </patternFill>
    </fill>
    <fill>
      <patternFill patternType="solid">
        <fgColor rgb="FFFCB70A"/>
        <bgColor indexed="64"/>
      </patternFill>
    </fill>
    <fill>
      <patternFill patternType="solid">
        <fgColor rgb="FFF0C800"/>
        <bgColor indexed="64"/>
      </patternFill>
    </fill>
    <fill>
      <patternFill patternType="solid">
        <fgColor rgb="FFE4BF11"/>
        <bgColor indexed="64"/>
      </patternFill>
    </fill>
    <fill>
      <patternFill patternType="solid">
        <fgColor rgb="FFD2B42C"/>
        <bgColor indexed="64"/>
      </patternFill>
    </fill>
    <fill>
      <patternFill patternType="solid">
        <fgColor rgb="FFEAAD1A"/>
        <bgColor indexed="64"/>
      </patternFill>
    </fill>
    <fill>
      <patternFill patternType="solid">
        <fgColor rgb="FFD3A237"/>
        <bgColor indexed="64"/>
      </patternFill>
    </fill>
    <fill>
      <patternFill patternType="solid">
        <fgColor rgb="FFCE9747"/>
        <bgColor indexed="64"/>
      </patternFill>
    </fill>
    <fill>
      <patternFill patternType="solid">
        <fgColor rgb="FFDB9B34"/>
        <bgColor indexed="64"/>
      </patternFill>
    </fill>
    <fill>
      <patternFill patternType="solid">
        <fgColor rgb="FFEBB10D"/>
        <bgColor indexed="64"/>
      </patternFill>
    </fill>
    <fill>
      <patternFill patternType="solid">
        <fgColor rgb="FFBE9457"/>
        <bgColor indexed="64"/>
      </patternFill>
    </fill>
    <fill>
      <patternFill patternType="solid">
        <fgColor rgb="FFE18A3B"/>
        <bgColor indexed="64"/>
      </patternFill>
    </fill>
    <fill>
      <patternFill patternType="solid">
        <fgColor rgb="FFAD9E55"/>
        <bgColor indexed="64"/>
      </patternFill>
    </fill>
    <fill>
      <patternFill patternType="solid">
        <fgColor rgb="FFE8B004"/>
        <bgColor indexed="64"/>
      </patternFill>
    </fill>
    <fill>
      <patternFill patternType="solid">
        <fgColor rgb="FFD2B116"/>
        <bgColor indexed="64"/>
      </patternFill>
    </fill>
    <fill>
      <patternFill patternType="solid">
        <fgColor rgb="FFD5B210"/>
        <bgColor indexed="64"/>
      </patternFill>
    </fill>
    <fill>
      <patternFill patternType="solid">
        <fgColor rgb="FFD6A01D"/>
        <bgColor indexed="64"/>
      </patternFill>
    </fill>
    <fill>
      <patternFill patternType="solid">
        <fgColor rgb="FFD9A40E"/>
        <bgColor indexed="64"/>
      </patternFill>
    </fill>
    <fill>
      <patternFill patternType="solid">
        <fgColor rgb="FFD08635"/>
        <bgColor indexed="64"/>
      </patternFill>
    </fill>
    <fill>
      <patternFill patternType="solid">
        <fgColor rgb="FFA78E44"/>
        <bgColor indexed="64"/>
      </patternFill>
    </fill>
    <fill>
      <patternFill patternType="solid">
        <fgColor rgb="FFBE8A2F"/>
        <bgColor indexed="64"/>
      </patternFill>
    </fill>
    <fill>
      <patternFill patternType="solid">
        <fgColor rgb="FFB6A014"/>
        <bgColor indexed="64"/>
      </patternFill>
    </fill>
    <fill>
      <patternFill patternType="solid">
        <fgColor rgb="FFB78B26"/>
        <bgColor indexed="64"/>
      </patternFill>
    </fill>
    <fill>
      <patternFill patternType="solid">
        <fgColor rgb="FFB78D12"/>
        <bgColor indexed="64"/>
      </patternFill>
    </fill>
    <fill>
      <patternFill patternType="solid">
        <fgColor rgb="FF8B7042"/>
        <bgColor indexed="64"/>
      </patternFill>
    </fill>
    <fill>
      <patternFill patternType="solid">
        <fgColor rgb="FF9F6027"/>
        <bgColor indexed="64"/>
      </patternFill>
    </fill>
    <fill>
      <patternFill patternType="solid">
        <fgColor rgb="FF775039"/>
        <bgColor indexed="64"/>
      </patternFill>
    </fill>
    <fill>
      <patternFill patternType="solid">
        <fgColor rgb="FF7C461E"/>
        <bgColor indexed="64"/>
      </patternFill>
    </fill>
    <fill>
      <patternFill patternType="solid">
        <fgColor rgb="FF5F4321"/>
        <bgColor indexed="64"/>
      </patternFill>
    </fill>
    <fill>
      <patternFill patternType="solid">
        <fgColor rgb="FFFBF2E3"/>
        <bgColor indexed="64"/>
      </patternFill>
    </fill>
    <fill>
      <patternFill patternType="solid">
        <fgColor rgb="FFFBEEE2"/>
        <bgColor indexed="64"/>
      </patternFill>
    </fill>
    <fill>
      <patternFill patternType="solid">
        <fgColor rgb="FFFBECDE"/>
        <bgColor indexed="64"/>
      </patternFill>
    </fill>
    <fill>
      <patternFill patternType="solid">
        <fgColor rgb="FFF9E8D0"/>
        <bgColor indexed="64"/>
      </patternFill>
    </fill>
    <fill>
      <patternFill patternType="solid">
        <fgColor rgb="FFF9DFCD"/>
        <bgColor indexed="64"/>
      </patternFill>
    </fill>
    <fill>
      <patternFill patternType="solid">
        <fgColor rgb="FFF6DCCE"/>
        <bgColor indexed="64"/>
      </patternFill>
    </fill>
    <fill>
      <patternFill patternType="solid">
        <fgColor rgb="FFF7CFBA"/>
        <bgColor indexed="64"/>
      </patternFill>
    </fill>
    <fill>
      <patternFill patternType="solid">
        <fgColor rgb="FFF7CDBC"/>
        <bgColor indexed="64"/>
      </patternFill>
    </fill>
    <fill>
      <patternFill patternType="solid">
        <fgColor rgb="FFF8C6B5"/>
        <bgColor indexed="64"/>
      </patternFill>
    </fill>
    <fill>
      <patternFill patternType="solid">
        <fgColor rgb="FFEDC3AE"/>
        <bgColor indexed="64"/>
      </patternFill>
    </fill>
    <fill>
      <patternFill patternType="solid">
        <fgColor rgb="FFF0C2A2"/>
        <bgColor indexed="64"/>
      </patternFill>
    </fill>
    <fill>
      <patternFill patternType="solid">
        <fgColor rgb="FFF9CB8B"/>
        <bgColor indexed="64"/>
      </patternFill>
    </fill>
    <fill>
      <patternFill patternType="solid">
        <fgColor rgb="FFF8C387"/>
        <bgColor indexed="64"/>
      </patternFill>
    </fill>
    <fill>
      <patternFill patternType="solid">
        <fgColor rgb="FFF6AD8F"/>
        <bgColor indexed="64"/>
      </patternFill>
    </fill>
    <fill>
      <patternFill patternType="solid">
        <fgColor rgb="FFF3A694"/>
        <bgColor indexed="64"/>
      </patternFill>
    </fill>
    <fill>
      <patternFill patternType="solid">
        <fgColor rgb="FFF5B087"/>
        <bgColor indexed="64"/>
      </patternFill>
    </fill>
    <fill>
      <patternFill patternType="solid">
        <fgColor rgb="FFF7C173"/>
        <bgColor indexed="64"/>
      </patternFill>
    </fill>
    <fill>
      <patternFill patternType="solid">
        <fgColor rgb="FFF8B37F"/>
        <bgColor indexed="64"/>
      </patternFill>
    </fill>
    <fill>
      <patternFill patternType="solid">
        <fgColor rgb="FFFBB957"/>
        <bgColor indexed="64"/>
      </patternFill>
    </fill>
    <fill>
      <patternFill patternType="solid">
        <fgColor rgb="FFDDB078"/>
        <bgColor indexed="64"/>
      </patternFill>
    </fill>
    <fill>
      <patternFill patternType="solid">
        <fgColor rgb="FFDA9E8C"/>
        <bgColor indexed="64"/>
      </patternFill>
    </fill>
    <fill>
      <patternFill patternType="solid">
        <fgColor rgb="FFF29A76"/>
        <bgColor indexed="64"/>
      </patternFill>
    </fill>
    <fill>
      <patternFill patternType="solid">
        <fgColor rgb="FFFB9968"/>
        <bgColor indexed="64"/>
      </patternFill>
    </fill>
    <fill>
      <patternFill patternType="solid">
        <fgColor rgb="FFF09C5A"/>
        <bgColor indexed="64"/>
      </patternFill>
    </fill>
    <fill>
      <patternFill patternType="solid">
        <fgColor rgb="FFF68C60"/>
        <bgColor indexed="64"/>
      </patternFill>
    </fill>
    <fill>
      <patternFill patternType="solid">
        <fgColor rgb="FFF0945D"/>
        <bgColor indexed="64"/>
      </patternFill>
    </fill>
    <fill>
      <patternFill patternType="solid">
        <fgColor rgb="FFF18F60"/>
        <bgColor indexed="64"/>
      </patternFill>
    </fill>
    <fill>
      <patternFill patternType="solid">
        <fgColor rgb="FFDAA45A"/>
        <bgColor indexed="64"/>
      </patternFill>
    </fill>
    <fill>
      <patternFill patternType="solid">
        <fgColor rgb="FFF4A83A"/>
        <bgColor indexed="64"/>
      </patternFill>
    </fill>
    <fill>
      <patternFill patternType="solid">
        <fgColor rgb="FFDB9C5E"/>
        <bgColor indexed="64"/>
      </patternFill>
    </fill>
    <fill>
      <patternFill patternType="solid">
        <fgColor rgb="FFF9A633"/>
        <bgColor indexed="64"/>
      </patternFill>
    </fill>
    <fill>
      <patternFill patternType="solid">
        <fgColor rgb="FFEF845D"/>
        <bgColor indexed="64"/>
      </patternFill>
    </fill>
    <fill>
      <patternFill patternType="solid">
        <fgColor rgb="FFEA8958"/>
        <bgColor indexed="64"/>
      </patternFill>
    </fill>
    <fill>
      <patternFill patternType="solid">
        <fgColor rgb="FFE7A23F"/>
        <bgColor indexed="64"/>
      </patternFill>
    </fill>
    <fill>
      <patternFill patternType="solid">
        <fgColor rgb="FFEE8055"/>
        <bgColor indexed="64"/>
      </patternFill>
    </fill>
    <fill>
      <patternFill patternType="solid">
        <fgColor rgb="FFDE9E44"/>
        <bgColor indexed="64"/>
      </patternFill>
    </fill>
    <fill>
      <patternFill patternType="solid">
        <fgColor rgb="FFEE7959"/>
        <bgColor indexed="64"/>
      </patternFill>
    </fill>
    <fill>
      <patternFill patternType="solid">
        <fgColor rgb="FFE67762"/>
        <bgColor indexed="64"/>
      </patternFill>
    </fill>
    <fill>
      <patternFill patternType="solid">
        <fgColor rgb="FFFF8936"/>
        <bgColor indexed="64"/>
      </patternFill>
    </fill>
    <fill>
      <patternFill patternType="solid">
        <fgColor rgb="FFFF8C31"/>
        <bgColor indexed="64"/>
      </patternFill>
    </fill>
    <fill>
      <patternFill patternType="solid">
        <fgColor rgb="FFD77F66"/>
        <bgColor indexed="64"/>
      </patternFill>
    </fill>
    <fill>
      <patternFill patternType="solid">
        <fgColor rgb="FFF27635"/>
        <bgColor indexed="64"/>
      </patternFill>
    </fill>
    <fill>
      <patternFill patternType="solid">
        <fgColor rgb="FFFA8C35"/>
        <bgColor indexed="64"/>
      </patternFill>
    </fill>
    <fill>
      <patternFill patternType="solid">
        <fgColor rgb="FFFFA60F"/>
        <bgColor indexed="64"/>
      </patternFill>
    </fill>
    <fill>
      <patternFill patternType="solid">
        <fgColor rgb="FFFBA414"/>
        <bgColor indexed="64"/>
      </patternFill>
    </fill>
    <fill>
      <patternFill patternType="solid">
        <fgColor rgb="FFFC8C23"/>
        <bgColor indexed="64"/>
      </patternFill>
    </fill>
    <fill>
      <patternFill patternType="solid">
        <fgColor rgb="FFF9723D"/>
        <bgColor indexed="64"/>
      </patternFill>
    </fill>
    <fill>
      <patternFill patternType="solid">
        <fgColor rgb="FFEF6F48"/>
        <bgColor indexed="64"/>
      </patternFill>
    </fill>
    <fill>
      <patternFill patternType="solid">
        <fgColor rgb="FFFC7930"/>
        <bgColor indexed="64"/>
      </patternFill>
    </fill>
    <fill>
      <patternFill patternType="solid">
        <fgColor rgb="FFC09351"/>
        <bgColor indexed="64"/>
      </patternFill>
    </fill>
    <fill>
      <patternFill patternType="solid">
        <fgColor rgb="FFFFA400"/>
        <bgColor indexed="64"/>
      </patternFill>
    </fill>
    <fill>
      <patternFill patternType="solid">
        <fgColor rgb="FFFCA106"/>
        <bgColor indexed="64"/>
      </patternFill>
    </fill>
    <fill>
      <patternFill patternType="solid">
        <fgColor rgb="FFFCA104"/>
        <bgColor indexed="64"/>
      </patternFill>
    </fill>
    <fill>
      <patternFill patternType="solid">
        <fgColor rgb="FFDB8540"/>
        <bgColor indexed="64"/>
      </patternFill>
    </fill>
    <fill>
      <patternFill patternType="solid">
        <fgColor rgb="FFED6D46"/>
        <bgColor indexed="64"/>
      </patternFill>
    </fill>
    <fill>
      <patternFill patternType="solid">
        <fgColor rgb="FFDA9233"/>
        <bgColor indexed="64"/>
      </patternFill>
    </fill>
    <fill>
      <patternFill patternType="solid">
        <fgColor rgb="FFFA8E16"/>
        <bgColor indexed="64"/>
      </patternFill>
    </fill>
    <fill>
      <patternFill patternType="solid">
        <fgColor rgb="FFD9883D"/>
        <bgColor indexed="64"/>
      </patternFill>
    </fill>
    <fill>
      <patternFill patternType="solid">
        <fgColor rgb="FFFA7E23"/>
        <bgColor indexed="64"/>
      </patternFill>
    </fill>
    <fill>
      <patternFill patternType="solid">
        <fgColor rgb="FFFF9900"/>
        <bgColor indexed="64"/>
      </patternFill>
    </fill>
    <fill>
      <patternFill patternType="solid">
        <fgColor rgb="FFDD6B4F"/>
        <bgColor indexed="64"/>
      </patternFill>
    </fill>
    <fill>
      <patternFill patternType="solid">
        <fgColor rgb="FFED6D3D"/>
        <bgColor indexed="64"/>
      </patternFill>
    </fill>
    <fill>
      <patternFill patternType="solid">
        <fgColor rgb="FFE07B37"/>
        <bgColor indexed="64"/>
      </patternFill>
    </fill>
    <fill>
      <patternFill patternType="solid">
        <fgColor theme="4" tint="0.799981688894314"/>
        <bgColor indexed="64"/>
      </patternFill>
    </fill>
    <fill>
      <patternFill patternType="solid">
        <fgColor rgb="FFF97D1C"/>
        <bgColor indexed="64"/>
      </patternFill>
    </fill>
    <fill>
      <patternFill patternType="solid">
        <fgColor rgb="FFDF7140"/>
        <bgColor indexed="64"/>
      </patternFill>
    </fill>
    <fill>
      <patternFill patternType="solid">
        <fgColor rgb="FFDC9123"/>
        <bgColor indexed="64"/>
      </patternFill>
    </fill>
    <fill>
      <patternFill patternType="solid">
        <fgColor rgb="FFF27B1F"/>
        <bgColor indexed="64"/>
      </patternFill>
    </fill>
    <fill>
      <patternFill patternType="solid">
        <fgColor rgb="FFFB8B05"/>
        <bgColor indexed="64"/>
      </patternFill>
    </fill>
    <fill>
      <patternFill patternType="solid">
        <fgColor rgb="FFCF7543"/>
        <bgColor indexed="64"/>
      </patternFill>
    </fill>
    <fill>
      <patternFill patternType="solid">
        <fgColor rgb="FFF29400"/>
        <bgColor indexed="64"/>
      </patternFill>
    </fill>
    <fill>
      <patternFill patternType="solid">
        <fgColor rgb="FFF86B1D"/>
        <bgColor indexed="64"/>
      </patternFill>
    </fill>
    <fill>
      <patternFill patternType="solid">
        <fgColor rgb="FFEF632B"/>
        <bgColor indexed="64"/>
      </patternFill>
    </fill>
    <fill>
      <patternFill patternType="solid">
        <fgColor rgb="FFC35C5D"/>
        <bgColor indexed="64"/>
      </patternFill>
    </fill>
    <fill>
      <patternFill patternType="solid">
        <fgColor rgb="FFDE7622"/>
        <bgColor indexed="64"/>
      </patternFill>
    </fill>
    <fill>
      <patternFill patternType="solid">
        <fgColor rgb="FFE46828"/>
        <bgColor indexed="64"/>
      </patternFill>
    </fill>
    <fill>
      <patternFill patternType="solid">
        <fgColor rgb="FFFC6315"/>
        <bgColor indexed="64"/>
      </patternFill>
    </fill>
    <fill>
      <patternFill patternType="solid">
        <fgColor rgb="FFFF7500"/>
        <bgColor indexed="64"/>
      </patternFill>
    </fill>
    <fill>
      <patternFill patternType="solid">
        <fgColor rgb="FFFA5D19"/>
        <bgColor indexed="64"/>
      </patternFill>
    </fill>
    <fill>
      <patternFill patternType="solid">
        <fgColor rgb="FFBC6E37"/>
        <bgColor indexed="64"/>
      </patternFill>
    </fill>
    <fill>
      <patternFill patternType="solid">
        <fgColor rgb="FFBA5B49"/>
        <bgColor indexed="64"/>
      </patternFill>
    </fill>
    <fill>
      <patternFill patternType="solid">
        <fgColor rgb="FFCB523E"/>
        <bgColor indexed="64"/>
      </patternFill>
    </fill>
    <fill>
      <patternFill patternType="solid">
        <fgColor rgb="FFE94829"/>
        <bgColor indexed="64"/>
      </patternFill>
    </fill>
    <fill>
      <patternFill patternType="solid">
        <fgColor rgb="FFEA5514"/>
        <bgColor indexed="64"/>
      </patternFill>
    </fill>
    <fill>
      <patternFill patternType="solid">
        <fgColor rgb="FFB15A43"/>
        <bgColor indexed="64"/>
      </patternFill>
    </fill>
    <fill>
      <patternFill patternType="solid">
        <fgColor rgb="FFBA5140"/>
        <bgColor indexed="64"/>
      </patternFill>
    </fill>
    <fill>
      <patternFill patternType="solid">
        <fgColor rgb="FFCC5D20"/>
        <bgColor indexed="64"/>
      </patternFill>
    </fill>
    <fill>
      <patternFill patternType="solid">
        <fgColor rgb="FFC1651A"/>
        <bgColor indexed="64"/>
      </patternFill>
    </fill>
    <fill>
      <patternFill patternType="solid">
        <fgColor rgb="FFB97500"/>
        <bgColor indexed="64"/>
      </patternFill>
    </fill>
    <fill>
      <patternFill patternType="solid">
        <fgColor rgb="FFD23918"/>
        <bgColor indexed="64"/>
      </patternFill>
    </fill>
    <fill>
      <patternFill patternType="solid">
        <fgColor rgb="FFA64036"/>
        <bgColor indexed="64"/>
      </patternFill>
    </fill>
    <fill>
      <patternFill patternType="solid">
        <fgColor rgb="FFCB4601"/>
        <bgColor indexed="64"/>
      </patternFill>
    </fill>
    <fill>
      <patternFill patternType="solid">
        <fgColor rgb="FF9F5221"/>
        <bgColor indexed="64"/>
      </patternFill>
    </fill>
    <fill>
      <patternFill patternType="solid">
        <fgColor rgb="FFF8EBE6"/>
        <bgColor indexed="64"/>
      </patternFill>
    </fill>
    <fill>
      <patternFill patternType="solid">
        <fgColor rgb="FFF9D3E3"/>
        <bgColor indexed="64"/>
      </patternFill>
    </fill>
    <fill>
      <patternFill patternType="solid">
        <fgColor rgb="FFF3D3E7"/>
        <bgColor indexed="64"/>
      </patternFill>
    </fill>
    <fill>
      <patternFill patternType="solid">
        <fgColor rgb="FFF0CFE3"/>
        <bgColor indexed="64"/>
      </patternFill>
    </fill>
    <fill>
      <patternFill patternType="solid">
        <fgColor rgb="FFEDD1D8"/>
        <bgColor indexed="64"/>
      </patternFill>
    </fill>
    <fill>
      <patternFill patternType="solid">
        <fgColor rgb="FFF0C9CF"/>
        <bgColor indexed="64"/>
      </patternFill>
    </fill>
    <fill>
      <patternFill patternType="solid">
        <fgColor rgb="FFF6CEC1"/>
        <bgColor indexed="64"/>
      </patternFill>
    </fill>
    <fill>
      <patternFill patternType="solid">
        <fgColor rgb="FFF2CAC9"/>
        <bgColor indexed="64"/>
      </patternFill>
    </fill>
    <fill>
      <patternFill patternType="solid">
        <fgColor rgb="FFE7CAD3"/>
        <bgColor indexed="64"/>
      </patternFill>
    </fill>
    <fill>
      <patternFill patternType="solid">
        <fgColor rgb="FFF1C4CD"/>
        <bgColor indexed="64"/>
      </patternFill>
    </fill>
    <fill>
      <patternFill patternType="solid">
        <fgColor rgb="FFEFC4CE"/>
        <bgColor indexed="64"/>
      </patternFill>
    </fill>
    <fill>
      <patternFill patternType="solid">
        <fgColor rgb="FFF6BEC8"/>
        <bgColor indexed="64"/>
      </patternFill>
    </fill>
    <fill>
      <patternFill patternType="solid">
        <fgColor rgb="FFF4C7BA"/>
        <bgColor indexed="64"/>
      </patternFill>
    </fill>
    <fill>
      <patternFill patternType="solid">
        <fgColor rgb="FFE4B8D5"/>
        <bgColor indexed="64"/>
      </patternFill>
    </fill>
    <fill>
      <patternFill patternType="solid">
        <fgColor rgb="FFEEB8C3"/>
        <bgColor indexed="64"/>
      </patternFill>
    </fill>
    <fill>
      <patternFill patternType="solid">
        <fgColor rgb="FFF2B9B2"/>
        <bgColor indexed="64"/>
      </patternFill>
    </fill>
    <fill>
      <patternFill patternType="solid">
        <fgColor rgb="FFECB0C1"/>
        <bgColor indexed="64"/>
      </patternFill>
    </fill>
    <fill>
      <patternFill patternType="solid">
        <fgColor rgb="FFE3B4B8"/>
        <bgColor indexed="64"/>
      </patternFill>
    </fill>
    <fill>
      <patternFill patternType="solid">
        <fgColor rgb="FFEFAFAD"/>
        <bgColor indexed="64"/>
      </patternFill>
    </fill>
    <fill>
      <patternFill patternType="solid">
        <fgColor rgb="FFEEA6B7"/>
        <bgColor indexed="64"/>
      </patternFill>
    </fill>
    <fill>
      <patternFill patternType="solid">
        <fgColor rgb="FFE3ADB9"/>
        <bgColor indexed="64"/>
      </patternFill>
    </fill>
    <fill>
      <patternFill patternType="solid">
        <fgColor rgb="FFEBA0B3"/>
        <bgColor indexed="64"/>
      </patternFill>
    </fill>
    <fill>
      <patternFill patternType="solid">
        <fgColor rgb="FFF0ADA0"/>
        <bgColor indexed="64"/>
      </patternFill>
    </fill>
    <fill>
      <patternFill patternType="solid">
        <fgColor rgb="FFED9DB2"/>
        <bgColor indexed="64"/>
      </patternFill>
    </fill>
    <fill>
      <patternFill patternType="solid">
        <fgColor rgb="FFF0A1A8"/>
        <bgColor indexed="64"/>
      </patternFill>
    </fill>
    <fill>
      <patternFill patternType="solid">
        <fgColor rgb="FFEFAA9C"/>
        <bgColor indexed="64"/>
      </patternFill>
    </fill>
    <fill>
      <patternFill patternType="solid">
        <fgColor rgb="FFEC9BAD"/>
        <bgColor indexed="64"/>
      </patternFill>
    </fill>
    <fill>
      <patternFill patternType="solid">
        <fgColor rgb="FFEEA2A4"/>
        <bgColor indexed="64"/>
      </patternFill>
    </fill>
    <fill>
      <patternFill patternType="solid">
        <fgColor rgb="FFE2A2AC"/>
        <bgColor indexed="64"/>
      </patternFill>
    </fill>
    <fill>
      <patternFill patternType="solid">
        <fgColor rgb="FFDAA9A9"/>
        <bgColor indexed="64"/>
      </patternFill>
    </fill>
    <fill>
      <patternFill patternType="solid">
        <fgColor rgb="FFD9A0B3"/>
        <bgColor indexed="64"/>
      </patternFill>
    </fill>
    <fill>
      <patternFill patternType="solid">
        <fgColor rgb="FFF091A0"/>
        <bgColor indexed="64"/>
      </patternFill>
    </fill>
    <fill>
      <patternFill patternType="solid">
        <fgColor rgb="FFF1939C"/>
        <bgColor indexed="64"/>
      </patternFill>
    </fill>
    <fill>
      <patternFill patternType="solid">
        <fgColor rgb="FFEB9A9A"/>
        <bgColor indexed="64"/>
      </patternFill>
    </fill>
    <fill>
      <patternFill patternType="solid">
        <fgColor rgb="FFEEA08C"/>
        <bgColor indexed="64"/>
      </patternFill>
    </fill>
    <fill>
      <patternFill patternType="solid">
        <fgColor rgb="FFEC8AA4"/>
        <bgColor indexed="64"/>
      </patternFill>
    </fill>
    <fill>
      <patternFill patternType="solid">
        <fgColor rgb="FFF19790"/>
        <bgColor indexed="64"/>
      </patternFill>
    </fill>
    <fill>
      <patternFill patternType="solid">
        <fgColor rgb="FFD993AB"/>
        <bgColor indexed="64"/>
      </patternFill>
    </fill>
    <fill>
      <patternFill patternType="solid">
        <fgColor rgb="FFEF82A0"/>
        <bgColor indexed="64"/>
      </patternFill>
    </fill>
    <fill>
      <patternFill patternType="solid">
        <fgColor rgb="FFF1908C"/>
        <bgColor indexed="64"/>
      </patternFill>
    </fill>
    <fill>
      <patternFill patternType="solid">
        <fgColor rgb="FFDE82A7"/>
        <bgColor indexed="64"/>
      </patternFill>
    </fill>
    <fill>
      <patternFill patternType="solid">
        <fgColor rgb="FFCF929E"/>
        <bgColor indexed="64"/>
      </patternFill>
    </fill>
    <fill>
      <patternFill patternType="solid">
        <fgColor rgb="FFEB6EA5"/>
        <bgColor indexed="64"/>
      </patternFill>
    </fill>
    <fill>
      <patternFill patternType="solid">
        <fgColor rgb="FFEC7696"/>
        <bgColor indexed="64"/>
      </patternFill>
    </fill>
    <fill>
      <patternFill patternType="solid">
        <fgColor rgb="FFE77C8E"/>
        <bgColor indexed="64"/>
      </patternFill>
    </fill>
    <fill>
      <patternFill patternType="solid">
        <fgColor rgb="FFF47983"/>
        <bgColor indexed="64"/>
      </patternFill>
    </fill>
    <fill>
      <patternFill patternType="solid">
        <fgColor rgb="FFEA7293"/>
        <bgColor indexed="64"/>
      </patternFill>
    </fill>
    <fill>
      <patternFill patternType="solid">
        <fgColor rgb="FFFC777C"/>
        <bgColor indexed="64"/>
      </patternFill>
    </fill>
    <fill>
      <patternFill patternType="solid">
        <fgColor rgb="FFF07C82"/>
        <bgColor indexed="64"/>
      </patternFill>
    </fill>
    <fill>
      <patternFill patternType="solid">
        <fgColor rgb="FFDE7897"/>
        <bgColor indexed="64"/>
      </patternFill>
    </fill>
    <fill>
      <patternFill patternType="solid">
        <fgColor rgb="FFEF7A82"/>
        <bgColor indexed="64"/>
      </patternFill>
    </fill>
    <fill>
      <patternFill patternType="solid">
        <fgColor rgb="FFD276A3"/>
        <bgColor indexed="64"/>
      </patternFill>
    </fill>
    <fill>
      <patternFill patternType="solid">
        <fgColor rgb="FFCE8892"/>
        <bgColor indexed="64"/>
      </patternFill>
    </fill>
    <fill>
      <patternFill patternType="solid">
        <fgColor rgb="FFDD7694"/>
        <bgColor indexed="64"/>
      </patternFill>
    </fill>
    <fill>
      <patternFill patternType="solid">
        <fgColor rgb="FFE16C96"/>
        <bgColor indexed="64"/>
      </patternFill>
    </fill>
    <fill>
      <patternFill patternType="solid">
        <fgColor rgb="FFCC73A0"/>
        <bgColor indexed="64"/>
      </patternFill>
    </fill>
    <fill>
      <patternFill patternType="solid">
        <fgColor rgb="FFF17666"/>
        <bgColor indexed="64"/>
      </patternFill>
    </fill>
    <fill>
      <patternFill patternType="solid">
        <fgColor rgb="FFDC6B82"/>
        <bgColor indexed="64"/>
      </patternFill>
    </fill>
    <fill>
      <patternFill patternType="solid">
        <fgColor rgb="FFC27C88"/>
        <bgColor indexed="64"/>
      </patternFill>
    </fill>
    <fill>
      <patternFill patternType="solid">
        <fgColor rgb="FFEC4E8A"/>
        <bgColor indexed="64"/>
      </patternFill>
    </fill>
    <fill>
      <patternFill patternType="solid">
        <fgColor rgb="FFDD6B7B"/>
        <bgColor indexed="64"/>
      </patternFill>
    </fill>
    <fill>
      <patternFill patternType="solid">
        <fgColor rgb="FFEF498B"/>
        <bgColor indexed="64"/>
      </patternFill>
    </fill>
    <fill>
      <patternFill patternType="solid">
        <fgColor rgb="FFBB7A8C"/>
        <bgColor indexed="64"/>
      </patternFill>
    </fill>
    <fill>
      <patternFill patternType="solid">
        <fgColor rgb="FFC5708B"/>
        <bgColor indexed="64"/>
      </patternFill>
    </fill>
    <fill>
      <patternFill patternType="solid">
        <fgColor rgb="FFEA517F"/>
        <bgColor indexed="64"/>
      </patternFill>
    </fill>
    <fill>
      <patternFill patternType="solid">
        <fgColor rgb="FFEB507E"/>
        <bgColor indexed="64"/>
      </patternFill>
    </fill>
    <fill>
      <patternFill patternType="solid">
        <fgColor rgb="FFCE5E8A"/>
        <bgColor indexed="64"/>
      </patternFill>
    </fill>
    <fill>
      <patternFill patternType="solid">
        <fgColor rgb="FFCC5595"/>
        <bgColor indexed="64"/>
      </patternFill>
    </fill>
    <fill>
      <patternFill patternType="solid">
        <fgColor rgb="FFD2568C"/>
        <bgColor indexed="64"/>
      </patternFill>
    </fill>
    <fill>
      <patternFill patternType="solid">
        <fgColor rgb="FFED556A"/>
        <bgColor indexed="64"/>
      </patternFill>
    </fill>
    <fill>
      <patternFill patternType="solid">
        <fgColor rgb="FFED5A65"/>
        <bgColor indexed="64"/>
      </patternFill>
    </fill>
    <fill>
      <patternFill patternType="solid">
        <fgColor rgb="FFC35691"/>
        <bgColor indexed="64"/>
      </patternFill>
    </fill>
    <fill>
      <patternFill patternType="solid">
        <fgColor rgb="FFCB5C83"/>
        <bgColor indexed="64"/>
      </patternFill>
    </fill>
    <fill>
      <patternFill patternType="solid">
        <fgColor rgb="FFB95A89"/>
        <bgColor indexed="64"/>
      </patternFill>
    </fill>
    <fill>
      <patternFill patternType="solid">
        <fgColor rgb="FFEE4866"/>
        <bgColor indexed="64"/>
      </patternFill>
    </fill>
    <fill>
      <patternFill patternType="solid">
        <fgColor rgb="FFDE3F7C"/>
        <bgColor indexed="64"/>
      </patternFill>
    </fill>
    <fill>
      <patternFill patternType="solid">
        <fgColor rgb="FFEE4863"/>
        <bgColor indexed="64"/>
      </patternFill>
    </fill>
    <fill>
      <patternFill patternType="solid">
        <fgColor rgb="FFEB3C70"/>
        <bgColor indexed="64"/>
      </patternFill>
    </fill>
    <fill>
      <patternFill patternType="solid">
        <fgColor rgb="FFFF0097"/>
        <bgColor indexed="64"/>
      </patternFill>
    </fill>
    <fill>
      <patternFill patternType="solid">
        <fgColor rgb="FFEF3473"/>
        <bgColor indexed="64"/>
      </patternFill>
    </fill>
    <fill>
      <patternFill patternType="solid">
        <fgColor rgb="FFEE2C79"/>
        <bgColor indexed="64"/>
      </patternFill>
    </fill>
    <fill>
      <patternFill patternType="solid">
        <fgColor rgb="FFF25A47"/>
        <bgColor indexed="64"/>
      </patternFill>
    </fill>
    <fill>
      <patternFill patternType="solid">
        <fgColor rgb="FFEF475D"/>
        <bgColor indexed="64"/>
      </patternFill>
    </fill>
    <fill>
      <patternFill patternType="solid">
        <fgColor rgb="FFEC2D7A"/>
        <bgColor indexed="64"/>
      </patternFill>
    </fill>
    <fill>
      <patternFill patternType="solid">
        <fgColor rgb="FFCE576D"/>
        <bgColor indexed="64"/>
      </patternFill>
    </fill>
    <fill>
      <patternFill patternType="solid">
        <fgColor rgb="FFF05A46"/>
        <bgColor indexed="64"/>
      </patternFill>
    </fill>
    <fill>
      <patternFill patternType="solid">
        <fgColor rgb="FFF15642"/>
        <bgColor indexed="64"/>
      </patternFill>
    </fill>
    <fill>
      <patternFill patternType="solid">
        <fgColor rgb="FFC35C6A"/>
        <bgColor indexed="64"/>
      </patternFill>
    </fill>
    <fill>
      <patternFill patternType="solid">
        <fgColor rgb="FFED2F6A"/>
        <bgColor indexed="64"/>
      </patternFill>
    </fill>
    <fill>
      <patternFill patternType="solid">
        <fgColor rgb="FFFB5D2E"/>
        <bgColor indexed="64"/>
      </patternFill>
    </fill>
    <fill>
      <patternFill patternType="solid">
        <fgColor rgb="FFD2357D"/>
        <bgColor indexed="64"/>
      </patternFill>
    </fill>
    <fill>
      <patternFill patternType="solid">
        <fgColor rgb="FFC45A65"/>
        <bgColor indexed="64"/>
      </patternFill>
    </fill>
    <fill>
      <patternFill patternType="solid">
        <fgColor rgb="FFD13C74"/>
        <bgColor indexed="64"/>
      </patternFill>
    </fill>
    <fill>
      <patternFill patternType="solid">
        <fgColor rgb="FFFF2D51"/>
        <bgColor indexed="64"/>
      </patternFill>
    </fill>
    <fill>
      <patternFill patternType="solid">
        <fgColor rgb="FFF35336"/>
        <bgColor indexed="64"/>
      </patternFill>
    </fill>
    <fill>
      <patternFill patternType="solid">
        <fgColor rgb="FFEC2C64"/>
        <bgColor indexed="64"/>
      </patternFill>
    </fill>
    <fill>
      <patternFill patternType="solid">
        <fgColor rgb="FFED4845"/>
        <bgColor indexed="64"/>
      </patternFill>
    </fill>
    <fill>
      <patternFill patternType="solid">
        <fgColor rgb="FFED5736"/>
        <bgColor indexed="64"/>
      </patternFill>
    </fill>
    <fill>
      <patternFill patternType="solid">
        <fgColor rgb="FFEE3F4D"/>
        <bgColor indexed="64"/>
      </patternFill>
    </fill>
    <fill>
      <patternFill patternType="solid">
        <fgColor rgb="FFF03752"/>
        <bgColor indexed="64"/>
      </patternFill>
    </fill>
    <fill>
      <patternFill patternType="solid">
        <fgColor rgb="FFF04A3A"/>
        <bgColor indexed="64"/>
      </patternFill>
    </fill>
    <fill>
      <patternFill patternType="solid">
        <fgColor rgb="FFC25160"/>
        <bgColor indexed="64"/>
      </patternFill>
    </fill>
    <fill>
      <patternFill patternType="solid">
        <fgColor rgb="FFE16723"/>
        <bgColor indexed="64"/>
      </patternFill>
    </fill>
    <fill>
      <patternFill patternType="solid">
        <fgColor rgb="FFED5126"/>
        <bgColor indexed="64"/>
      </patternFill>
    </fill>
    <fill>
      <patternFill patternType="solid">
        <fgColor rgb="FFB0436F"/>
        <bgColor indexed="64"/>
      </patternFill>
    </fill>
    <fill>
      <patternFill patternType="solid">
        <fgColor rgb="FFF04B22"/>
        <bgColor indexed="64"/>
      </patternFill>
    </fill>
    <fill>
      <patternFill patternType="solid">
        <fgColor rgb="FFB83570"/>
        <bgColor indexed="64"/>
      </patternFill>
    </fill>
    <fill>
      <patternFill patternType="solid">
        <fgColor rgb="FFEE2746"/>
        <bgColor indexed="64"/>
      </patternFill>
    </fill>
    <fill>
      <patternFill patternType="solid">
        <fgColor rgb="FFC04851"/>
        <bgColor indexed="64"/>
      </patternFill>
    </fill>
    <fill>
      <patternFill patternType="solid">
        <fgColor rgb="FFED3B2F"/>
        <bgColor indexed="64"/>
      </patternFill>
    </fill>
    <fill>
      <patternFill patternType="solid">
        <fgColor rgb="FFCD6227"/>
        <bgColor indexed="64"/>
      </patternFill>
    </fill>
    <fill>
      <patternFill patternType="solid">
        <fgColor rgb="FFF2481B"/>
        <bgColor indexed="64"/>
      </patternFill>
    </fill>
    <fill>
      <patternFill patternType="solid">
        <fgColor rgb="FFA7535A"/>
        <bgColor indexed="64"/>
      </patternFill>
    </fill>
    <fill>
      <patternFill patternType="solid">
        <fgColor rgb="FFF23E23"/>
        <bgColor indexed="64"/>
      </patternFill>
    </fill>
    <fill>
      <patternFill patternType="solid">
        <fgColor rgb="FFED3333"/>
        <bgColor indexed="64"/>
      </patternFill>
    </fill>
    <fill>
      <patternFill patternType="solid">
        <fgColor rgb="FFF03F24"/>
        <bgColor indexed="64"/>
      </patternFill>
    </fill>
    <fill>
      <patternFill patternType="solid">
        <fgColor rgb="FFF1441D"/>
        <bgColor indexed="64"/>
      </patternFill>
    </fill>
    <fill>
      <patternFill patternType="solid">
        <fgColor rgb="FFF34718"/>
        <bgColor indexed="64"/>
      </patternFill>
    </fill>
    <fill>
      <patternFill patternType="solid">
        <fgColor rgb="FFF13C22"/>
        <bgColor indexed="64"/>
      </patternFill>
    </fill>
    <fill>
      <patternFill patternType="solid">
        <fgColor rgb="FFF33B1F"/>
        <bgColor indexed="64"/>
      </patternFill>
    </fill>
    <fill>
      <patternFill patternType="solid">
        <fgColor rgb="FFE8382C"/>
        <bgColor indexed="64"/>
      </patternFill>
    </fill>
    <fill>
      <patternFill patternType="solid">
        <fgColor rgb="FFF20C00"/>
        <bgColor indexed="64"/>
      </patternFill>
    </fill>
    <fill>
      <patternFill patternType="solid">
        <fgColor rgb="FFF5391C"/>
        <bgColor indexed="64"/>
      </patternFill>
    </fill>
    <fill>
      <patternFill patternType="solid">
        <fgColor rgb="FFD85916"/>
        <bgColor indexed="64"/>
      </patternFill>
    </fill>
    <fill>
      <patternFill patternType="solid">
        <fgColor rgb="FFBF3553"/>
        <bgColor indexed="64"/>
      </patternFill>
    </fill>
    <fill>
      <patternFill patternType="solid">
        <fgColor rgb="FFB04552"/>
        <bgColor indexed="64"/>
      </patternFill>
    </fill>
    <fill>
      <patternFill patternType="solid">
        <fgColor rgb="FFF00056"/>
        <bgColor indexed="64"/>
      </patternFill>
    </fill>
    <fill>
      <patternFill patternType="solid">
        <fgColor rgb="FFA73766"/>
        <bgColor indexed="64"/>
      </patternFill>
    </fill>
    <fill>
      <patternFill patternType="solid">
        <fgColor rgb="FF9E4E56"/>
        <bgColor indexed="64"/>
      </patternFill>
    </fill>
    <fill>
      <patternFill patternType="solid">
        <fgColor rgb="FFED3321"/>
        <bgColor indexed="64"/>
      </patternFill>
    </fill>
    <fill>
      <patternFill patternType="solid">
        <fgColor rgb="FFEC2B24"/>
        <bgColor indexed="64"/>
      </patternFill>
    </fill>
    <fill>
      <patternFill patternType="solid">
        <fgColor rgb="FFE94709"/>
        <bgColor indexed="64"/>
      </patternFill>
    </fill>
    <fill>
      <patternFill patternType="solid">
        <fgColor rgb="FFF43E06"/>
        <bgColor indexed="64"/>
      </patternFill>
    </fill>
    <fill>
      <patternFill patternType="solid">
        <fgColor rgb="FFFF3300"/>
        <bgColor indexed="64"/>
      </patternFill>
    </fill>
    <fill>
      <patternFill patternType="solid">
        <fgColor rgb="FFBD482C"/>
        <bgColor indexed="64"/>
      </patternFill>
    </fill>
    <fill>
      <patternFill patternType="solid">
        <fgColor rgb="FFBD482A"/>
        <bgColor indexed="64"/>
      </patternFill>
    </fill>
    <fill>
      <patternFill patternType="solid">
        <fgColor rgb="FFDC3023"/>
        <bgColor indexed="64"/>
      </patternFill>
    </fill>
    <fill>
      <patternFill patternType="solid">
        <fgColor rgb="FFDE1C31"/>
        <bgColor indexed="64"/>
      </patternFill>
    </fill>
    <fill>
      <patternFill patternType="solid">
        <fgColor rgb="FFEB261A"/>
        <bgColor indexed="64"/>
      </patternFill>
    </fill>
    <fill>
      <patternFill patternType="solid">
        <fgColor rgb="FF894E54"/>
        <bgColor indexed="64"/>
      </patternFill>
    </fill>
    <fill>
      <patternFill patternType="solid">
        <fgColor rgb="FFCF4813"/>
        <bgColor indexed="64"/>
      </patternFill>
    </fill>
    <fill>
      <patternFill patternType="solid">
        <fgColor rgb="FFC83C23"/>
        <bgColor indexed="64"/>
      </patternFill>
    </fill>
    <fill>
      <patternFill patternType="solid">
        <fgColor rgb="FFC3272B"/>
        <bgColor indexed="64"/>
      </patternFill>
    </fill>
    <fill>
      <patternFill patternType="solid">
        <fgColor rgb="FFA6522C"/>
        <bgColor indexed="64"/>
      </patternFill>
    </fill>
    <fill>
      <patternFill patternType="solid">
        <fgColor rgb="FFC02C38"/>
        <bgColor indexed="64"/>
      </patternFill>
    </fill>
    <fill>
      <patternFill patternType="solid">
        <fgColor rgb="FFDE2A18"/>
        <bgColor indexed="64"/>
      </patternFill>
    </fill>
    <fill>
      <patternFill patternType="solid">
        <fgColor rgb="FFC91F37"/>
        <bgColor indexed="64"/>
      </patternFill>
    </fill>
    <fill>
      <patternFill patternType="solid">
        <fgColor rgb="FFCC163A"/>
        <bgColor indexed="64"/>
      </patternFill>
    </fill>
    <fill>
      <patternFill patternType="solid">
        <fgColor rgb="FFD70440"/>
        <bgColor indexed="64"/>
      </patternFill>
    </fill>
    <fill>
      <patternFill patternType="solid">
        <fgColor rgb="FFB13B2E"/>
        <bgColor indexed="64"/>
      </patternFill>
    </fill>
    <fill>
      <patternFill patternType="solid">
        <fgColor rgb="FFB93A26"/>
        <bgColor indexed="64"/>
      </patternFill>
    </fill>
    <fill>
      <patternFill patternType="solid">
        <fgColor rgb="FFD11A2D"/>
        <bgColor indexed="64"/>
      </patternFill>
    </fill>
    <fill>
      <patternFill patternType="solid">
        <fgColor rgb="FFC21F30"/>
        <bgColor indexed="64"/>
      </patternFill>
    </fill>
    <fill>
      <patternFill patternType="solid">
        <fgColor rgb="FFAB372F"/>
        <bgColor indexed="64"/>
      </patternFill>
    </fill>
    <fill>
      <patternFill patternType="solid">
        <fgColor rgb="FFD42517"/>
        <bgColor indexed="64"/>
      </patternFill>
    </fill>
    <fill>
      <patternFill patternType="solid">
        <fgColor rgb="FFC12C1F"/>
        <bgColor indexed="64"/>
      </patternFill>
    </fill>
    <fill>
      <patternFill patternType="solid">
        <fgColor rgb="FFAF2E2B"/>
        <bgColor indexed="64"/>
      </patternFill>
    </fill>
    <fill>
      <patternFill patternType="solid">
        <fgColor rgb="FFB81A35"/>
        <bgColor indexed="64"/>
      </patternFill>
    </fill>
    <fill>
      <patternFill patternType="solid">
        <fgColor rgb="FFBC172D"/>
        <bgColor indexed="64"/>
      </patternFill>
    </fill>
    <fill>
      <patternFill patternType="solid">
        <fgColor rgb="FFCF002D"/>
        <bgColor indexed="64"/>
      </patternFill>
    </fill>
    <fill>
      <patternFill patternType="solid">
        <fgColor rgb="FFC8161D"/>
        <bgColor indexed="64"/>
      </patternFill>
    </fill>
    <fill>
      <patternFill patternType="solid">
        <fgColor rgb="FF954024"/>
        <bgColor indexed="64"/>
      </patternFill>
    </fill>
    <fill>
      <patternFill patternType="solid">
        <fgColor rgb="FFE60012"/>
        <bgColor indexed="64"/>
      </patternFill>
    </fill>
    <fill>
      <patternFill patternType="solid">
        <fgColor rgb="FF8F3D2C"/>
        <bgColor indexed="64"/>
      </patternFill>
    </fill>
    <fill>
      <patternFill patternType="solid">
        <fgColor rgb="FF95302E"/>
        <bgColor indexed="64"/>
      </patternFill>
    </fill>
    <fill>
      <patternFill patternType="solid">
        <fgColor rgb="FFA72126"/>
        <bgColor indexed="64"/>
      </patternFill>
    </fill>
    <fill>
      <patternFill patternType="solid">
        <fgColor rgb="FFA61B29"/>
        <bgColor indexed="64"/>
      </patternFill>
    </fill>
    <fill>
      <patternFill patternType="solid">
        <fgColor rgb="FFAB1D22"/>
        <bgColor indexed="64"/>
      </patternFill>
    </fill>
    <fill>
      <patternFill patternType="solid">
        <fgColor rgb="FF9E2A22"/>
        <bgColor indexed="64"/>
      </patternFill>
    </fill>
    <fill>
      <patternFill patternType="solid">
        <fgColor rgb="FFAC1F18"/>
        <bgColor indexed="64"/>
      </patternFill>
    </fill>
    <fill>
      <patternFill patternType="solid">
        <fgColor rgb="FF873424"/>
        <bgColor indexed="64"/>
      </patternFill>
    </fill>
    <fill>
      <patternFill patternType="solid">
        <fgColor rgb="FF8F1D22"/>
        <bgColor indexed="64"/>
      </patternFill>
    </fill>
    <fill>
      <patternFill patternType="solid">
        <fgColor rgb="FF82202B"/>
        <bgColor indexed="64"/>
      </patternFill>
    </fill>
    <fill>
      <patternFill patternType="solid">
        <fgColor rgb="FF822327"/>
        <bgColor indexed="64"/>
      </patternFill>
    </fill>
    <fill>
      <patternFill patternType="solid">
        <fgColor rgb="FF662B2F"/>
        <bgColor indexed="64"/>
      </patternFill>
    </fill>
    <fill>
      <patternFill patternType="solid">
        <fgColor rgb="FF7C1823"/>
        <bgColor indexed="64"/>
      </patternFill>
    </fill>
    <fill>
      <patternFill patternType="solid">
        <fgColor rgb="FF7C191E"/>
        <bgColor indexed="64"/>
      </patternFill>
    </fill>
    <fill>
      <patternFill patternType="solid">
        <fgColor rgb="FF82111F"/>
        <bgColor indexed="64"/>
      </patternFill>
    </fill>
    <fill>
      <patternFill patternType="solid">
        <fgColor rgb="FF662B1F"/>
        <bgColor indexed="64"/>
      </patternFill>
    </fill>
    <fill>
      <patternFill patternType="solid">
        <fgColor rgb="FF622A1D"/>
        <bgColor indexed="64"/>
      </patternFill>
    </fill>
    <fill>
      <patternFill patternType="solid">
        <fgColor rgb="FF62102E"/>
        <bgColor indexed="64"/>
      </patternFill>
    </fill>
    <fill>
      <patternFill patternType="solid">
        <fgColor rgb="FF631216"/>
        <bgColor indexed="64"/>
      </patternFill>
    </fill>
    <fill>
      <patternFill patternType="solid">
        <fgColor rgb="FF4C1E1A"/>
        <bgColor indexed="64"/>
      </patternFill>
    </fill>
    <fill>
      <patternFill patternType="solid">
        <fgColor rgb="FFD2F0F4"/>
        <bgColor indexed="64"/>
      </patternFill>
    </fill>
    <fill>
      <patternFill patternType="solid">
        <fgColor rgb="FFC6E6E8"/>
        <bgColor indexed="64"/>
      </patternFill>
    </fill>
    <fill>
      <patternFill patternType="solid">
        <fgColor rgb="FFD0DFE6"/>
        <bgColor indexed="64"/>
      </patternFill>
    </fill>
    <fill>
      <patternFill patternType="solid">
        <fgColor rgb="FFC3D7DF"/>
        <bgColor indexed="64"/>
      </patternFill>
    </fill>
    <fill>
      <patternFill patternType="solid">
        <fgColor rgb="FFBCD4E7"/>
        <bgColor indexed="64"/>
      </patternFill>
    </fill>
    <fill>
      <patternFill patternType="solid">
        <fgColor rgb="FFC7D2D4"/>
        <bgColor indexed="64"/>
      </patternFill>
    </fill>
    <fill>
      <patternFill patternType="solid">
        <fgColor rgb="FFAED0EE"/>
        <bgColor indexed="64"/>
      </patternFill>
    </fill>
    <fill>
      <patternFill patternType="solid">
        <fgColor rgb="FFB0D5DF"/>
        <bgColor indexed="64"/>
      </patternFill>
    </fill>
    <fill>
      <patternFill patternType="solid">
        <fgColor rgb="FFBACCD9"/>
        <bgColor indexed="64"/>
      </patternFill>
    </fill>
    <fill>
      <patternFill patternType="solid">
        <fgColor rgb="FFA2D2E2"/>
        <bgColor indexed="64"/>
      </patternFill>
    </fill>
    <fill>
      <patternFill patternType="solid">
        <fgColor rgb="FF93D5DC"/>
        <bgColor indexed="64"/>
      </patternFill>
    </fill>
    <fill>
      <patternFill patternType="solid">
        <fgColor rgb="FFA3BBDB"/>
        <bgColor indexed="64"/>
      </patternFill>
    </fill>
    <fill>
      <patternFill patternType="solid">
        <fgColor rgb="FF85C0DB"/>
        <bgColor indexed="64"/>
      </patternFill>
    </fill>
    <fill>
      <patternFill patternType="solid">
        <fgColor rgb="FF8ABCD1"/>
        <bgColor indexed="64"/>
      </patternFill>
    </fill>
    <fill>
      <patternFill patternType="solid">
        <fgColor rgb="FF93B5CF"/>
        <bgColor indexed="64"/>
      </patternFill>
    </fill>
    <fill>
      <patternFill patternType="solid">
        <fgColor rgb="FFC5F7FF"/>
        <bgColor indexed="64"/>
      </patternFill>
    </fill>
    <fill>
      <patternFill patternType="solid">
        <fgColor rgb="FF96F4F2"/>
        <bgColor indexed="64"/>
      </patternFill>
    </fill>
    <fill>
      <patternFill patternType="solid">
        <fgColor rgb="FF88ABDA"/>
        <bgColor indexed="64"/>
      </patternFill>
    </fill>
    <fill>
      <patternFill patternType="solid">
        <fgColor rgb="FF8FB2C9"/>
        <bgColor indexed="64"/>
      </patternFill>
    </fill>
    <fill>
      <patternFill patternType="solid">
        <fgColor rgb="FF99F0F9"/>
        <bgColor indexed="64"/>
      </patternFill>
    </fill>
    <fill>
      <patternFill patternType="solid">
        <fgColor rgb="FF8AABCC"/>
        <bgColor indexed="64"/>
      </patternFill>
    </fill>
    <fill>
      <patternFill patternType="solid">
        <fgColor rgb="FF8BA3C7"/>
        <bgColor indexed="64"/>
      </patternFill>
    </fill>
    <fill>
      <patternFill patternType="solid">
        <fgColor rgb="FF63BBD0"/>
        <bgColor indexed="64"/>
      </patternFill>
    </fill>
    <fill>
      <patternFill patternType="solid">
        <fgColor rgb="FF8D93C8"/>
        <bgColor indexed="64"/>
      </patternFill>
    </fill>
    <fill>
      <patternFill patternType="solid">
        <fgColor rgb="FF3CBEE7"/>
        <bgColor indexed="64"/>
      </patternFill>
    </fill>
    <fill>
      <patternFill patternType="solid">
        <fgColor rgb="FF5CB3CC"/>
        <bgColor indexed="64"/>
      </patternFill>
    </fill>
    <fill>
      <patternFill patternType="solid">
        <fgColor rgb="FF66A9C9"/>
        <bgColor indexed="64"/>
      </patternFill>
    </fill>
    <fill>
      <patternFill patternType="solid">
        <fgColor rgb="FF6F94CD"/>
        <bgColor indexed="64"/>
      </patternFill>
    </fill>
    <fill>
      <patternFill patternType="solid">
        <fgColor rgb="FF6E9BC5"/>
        <bgColor indexed="64"/>
      </patternFill>
    </fill>
    <fill>
      <patternFill patternType="solid">
        <fgColor rgb="FF619AC3"/>
        <bgColor indexed="64"/>
      </patternFill>
    </fill>
    <fill>
      <patternFill patternType="solid">
        <fgColor rgb="FF5698C3"/>
        <bgColor indexed="64"/>
      </patternFill>
    </fill>
    <fill>
      <patternFill patternType="solid">
        <fgColor rgb="FF4994C4"/>
        <bgColor indexed="64"/>
      </patternFill>
    </fill>
    <fill>
      <patternFill patternType="solid">
        <fgColor rgb="FF5976BA"/>
        <bgColor indexed="64"/>
      </patternFill>
    </fill>
    <fill>
      <patternFill patternType="solid">
        <fgColor rgb="FF22A2C3"/>
        <bgColor indexed="64"/>
      </patternFill>
    </fill>
    <fill>
      <patternFill patternType="solid">
        <fgColor rgb="FF2F90B9"/>
        <bgColor indexed="64"/>
      </patternFill>
    </fill>
    <fill>
      <patternFill patternType="solid">
        <fgColor rgb="FF6B798E"/>
        <bgColor indexed="64"/>
      </patternFill>
    </fill>
    <fill>
      <patternFill patternType="solid">
        <fgColor rgb="FF4B5CC4"/>
        <bgColor indexed="64"/>
      </patternFill>
    </fill>
    <fill>
      <patternFill patternType="solid">
        <fgColor rgb="FF4E7CA1"/>
        <bgColor indexed="64"/>
      </patternFill>
    </fill>
    <fill>
      <patternFill patternType="solid">
        <fgColor rgb="FF1A94BC"/>
        <bgColor indexed="64"/>
      </patternFill>
    </fill>
    <fill>
      <patternFill patternType="solid">
        <fgColor rgb="FF4182A4"/>
        <bgColor indexed="64"/>
      </patternFill>
    </fill>
    <fill>
      <patternFill patternType="solid">
        <fgColor rgb="FF2983BB"/>
        <bgColor indexed="64"/>
      </patternFill>
    </fill>
    <fill>
      <patternFill patternType="solid">
        <fgColor rgb="FF2486B9"/>
        <bgColor indexed="64"/>
      </patternFill>
    </fill>
    <fill>
      <patternFill patternType="solid">
        <fgColor rgb="FF4F64AE"/>
        <bgColor indexed="64"/>
      </patternFill>
    </fill>
    <fill>
      <patternFill patternType="solid">
        <fgColor rgb="FF5E7987"/>
        <bgColor indexed="64"/>
      </patternFill>
    </fill>
    <fill>
      <patternFill patternType="solid">
        <fgColor rgb="FF158BB8"/>
        <bgColor indexed="64"/>
      </patternFill>
    </fill>
    <fill>
      <patternFill patternType="solid">
        <fgColor rgb="FF3271AE"/>
        <bgColor indexed="64"/>
      </patternFill>
    </fill>
    <fill>
      <patternFill patternType="solid">
        <fgColor rgb="FF2177B8"/>
        <bgColor indexed="64"/>
      </patternFill>
    </fill>
    <fill>
      <patternFill patternType="solid">
        <fgColor rgb="FF2376B7"/>
        <bgColor indexed="64"/>
      </patternFill>
    </fill>
    <fill>
      <patternFill patternType="solid">
        <fgColor rgb="FF2474B5"/>
        <bgColor indexed="64"/>
      </patternFill>
    </fill>
    <fill>
      <patternFill patternType="solid">
        <fgColor rgb="FF2B73AF"/>
        <bgColor indexed="64"/>
      </patternFill>
    </fill>
    <fill>
      <patternFill patternType="solid">
        <fgColor rgb="FF1781B5"/>
        <bgColor indexed="64"/>
      </patternFill>
    </fill>
    <fill>
      <patternFill patternType="solid">
        <fgColor rgb="FF3170A7"/>
        <bgColor indexed="64"/>
      </patternFill>
    </fill>
    <fill>
      <patternFill patternType="solid">
        <fgColor rgb="FF1677B3"/>
        <bgColor indexed="64"/>
      </patternFill>
    </fill>
    <fill>
      <patternFill patternType="solid">
        <fgColor rgb="FF1772B4"/>
        <bgColor indexed="64"/>
      </patternFill>
    </fill>
    <fill>
      <patternFill patternType="solid">
        <fgColor rgb="FF346C9C"/>
        <bgColor indexed="64"/>
      </patternFill>
    </fill>
    <fill>
      <patternFill patternType="solid">
        <fgColor rgb="FF1177B0"/>
        <bgColor indexed="64"/>
      </patternFill>
    </fill>
    <fill>
      <patternFill patternType="solid">
        <fgColor rgb="FF126BAE"/>
        <bgColor indexed="64"/>
      </patternFill>
    </fill>
    <fill>
      <patternFill patternType="solid">
        <fgColor rgb="FF424D99"/>
        <bgColor indexed="64"/>
      </patternFill>
    </fill>
    <fill>
      <patternFill patternType="solid">
        <fgColor rgb="FF1661AB"/>
        <bgColor indexed="64"/>
      </patternFill>
    </fill>
    <fill>
      <patternFill patternType="solid">
        <fgColor rgb="FF2A5390"/>
        <bgColor indexed="64"/>
      </patternFill>
    </fill>
    <fill>
      <patternFill patternType="solid">
        <fgColor rgb="FF26499D"/>
        <bgColor indexed="64"/>
      </patternFill>
    </fill>
    <fill>
      <patternFill patternType="solid">
        <fgColor rgb="FF11659A"/>
        <bgColor indexed="64"/>
      </patternFill>
    </fill>
    <fill>
      <patternFill patternType="solid">
        <fgColor rgb="FF106898"/>
        <bgColor indexed="64"/>
      </patternFill>
    </fill>
    <fill>
      <patternFill patternType="solid">
        <fgColor rgb="FF0F59A4"/>
        <bgColor indexed="64"/>
      </patternFill>
    </fill>
    <fill>
      <patternFill patternType="solid">
        <fgColor rgb="FF535164"/>
        <bgColor indexed="64"/>
      </patternFill>
    </fill>
    <fill>
      <patternFill patternType="solid">
        <fgColor rgb="FF15559A"/>
        <bgColor indexed="64"/>
      </patternFill>
    </fill>
    <fill>
      <patternFill patternType="solid">
        <fgColor rgb="FF126E82"/>
        <bgColor indexed="64"/>
      </patternFill>
    </fill>
    <fill>
      <patternFill patternType="solid">
        <fgColor rgb="FF2E4E7E"/>
        <bgColor indexed="64"/>
      </patternFill>
    </fill>
    <fill>
      <patternFill patternType="solid">
        <fgColor rgb="FF38308E"/>
        <bgColor indexed="64"/>
      </patternFill>
    </fill>
    <fill>
      <patternFill patternType="solid">
        <fgColor rgb="FF004EA2"/>
        <bgColor indexed="64"/>
      </patternFill>
    </fill>
    <fill>
      <patternFill patternType="solid">
        <fgColor rgb="FF354E6B"/>
        <bgColor indexed="64"/>
      </patternFill>
    </fill>
    <fill>
      <patternFill patternType="solid">
        <fgColor rgb="FF45465E"/>
        <bgColor indexed="64"/>
      </patternFill>
    </fill>
    <fill>
      <patternFill patternType="solid">
        <fgColor rgb="FF454659"/>
        <bgColor indexed="64"/>
      </patternFill>
    </fill>
    <fill>
      <patternFill patternType="solid">
        <fgColor rgb="FF12507B"/>
        <bgColor indexed="64"/>
      </patternFill>
    </fill>
    <fill>
      <patternFill patternType="solid">
        <fgColor rgb="FF144A74"/>
        <bgColor indexed="64"/>
      </patternFill>
    </fill>
    <fill>
      <patternFill patternType="solid">
        <fgColor rgb="FF1C3F73"/>
        <bgColor indexed="64"/>
      </patternFill>
    </fill>
    <fill>
      <patternFill patternType="solid">
        <fgColor rgb="FF22406A"/>
        <bgColor indexed="64"/>
      </patternFill>
    </fill>
    <fill>
      <patternFill patternType="solid">
        <fgColor rgb="FF213A70"/>
        <bgColor indexed="64"/>
      </patternFill>
    </fill>
    <fill>
      <patternFill patternType="solid">
        <fgColor rgb="FF06436F"/>
        <bgColor indexed="64"/>
      </patternFill>
    </fill>
    <fill>
      <patternFill patternType="solid">
        <fgColor rgb="FF134857"/>
        <bgColor indexed="64"/>
      </patternFill>
    </fill>
    <fill>
      <patternFill patternType="solid">
        <fgColor rgb="FF003D74"/>
        <bgColor indexed="64"/>
      </patternFill>
    </fill>
    <fill>
      <patternFill patternType="solid">
        <fgColor rgb="FF19325F"/>
        <bgColor indexed="64"/>
      </patternFill>
    </fill>
    <fill>
      <patternFill patternType="solid">
        <fgColor rgb="FF003371"/>
        <bgColor indexed="64"/>
      </patternFill>
    </fill>
    <fill>
      <patternFill patternType="solid">
        <fgColor rgb="FF21373D"/>
        <bgColor indexed="64"/>
      </patternFill>
    </fill>
    <fill>
      <patternFill patternType="solid">
        <fgColor rgb="FF003460"/>
        <bgColor indexed="64"/>
      </patternFill>
    </fill>
    <fill>
      <patternFill patternType="solid">
        <fgColor rgb="FF1A2847"/>
        <bgColor indexed="64"/>
      </patternFill>
    </fill>
    <fill>
      <patternFill patternType="solid">
        <fgColor rgb="FF12264F"/>
        <bgColor indexed="64"/>
      </patternFill>
    </fill>
    <fill>
      <patternFill patternType="solid">
        <fgColor rgb="FF1C2938"/>
        <bgColor indexed="64"/>
      </patternFill>
    </fill>
    <fill>
      <patternFill patternType="solid">
        <fgColor rgb="FF132C33"/>
        <bgColor indexed="64"/>
      </patternFill>
    </fill>
    <fill>
      <patternFill patternType="solid">
        <fgColor rgb="FF142334"/>
        <bgColor indexed="64"/>
      </patternFill>
    </fill>
    <fill>
      <patternFill patternType="solid">
        <fgColor rgb="FF14143C"/>
        <bgColor indexed="64"/>
      </patternFill>
    </fill>
    <fill>
      <patternFill patternType="solid">
        <fgColor rgb="FF101F30"/>
        <bgColor indexed="64"/>
      </patternFill>
    </fill>
    <fill>
      <patternFill patternType="solid">
        <fgColor rgb="FF131824"/>
        <bgColor indexed="64"/>
      </patternFill>
    </fill>
    <fill>
      <patternFill patternType="solid">
        <fgColor rgb="FF0F142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1">
    <border>
      <left/>
      <right/>
      <top/>
      <bottom/>
      <diagonal/>
    </border>
    <border>
      <left style="thin">
        <color theme="1" tint="0.5"/>
      </left>
      <right style="thin">
        <color theme="1" tint="0.5"/>
      </right>
      <top style="thin">
        <color theme="1" tint="0.5"/>
      </top>
      <bottom style="thin">
        <color theme="1" tint="0.5"/>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083"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1084" borderId="6" applyNumberFormat="0" applyAlignment="0" applyProtection="0">
      <alignment vertical="center"/>
    </xf>
    <xf numFmtId="0" fontId="23" fillId="1085" borderId="7" applyNumberFormat="0" applyAlignment="0" applyProtection="0">
      <alignment vertical="center"/>
    </xf>
    <xf numFmtId="0" fontId="24" fillId="1085" borderId="6" applyNumberFormat="0" applyAlignment="0" applyProtection="0">
      <alignment vertical="center"/>
    </xf>
    <xf numFmtId="0" fontId="25" fillId="1086"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1087" borderId="0" applyNumberFormat="0" applyBorder="0" applyAlignment="0" applyProtection="0">
      <alignment vertical="center"/>
    </xf>
    <xf numFmtId="0" fontId="29" fillId="1088" borderId="0" applyNumberFormat="0" applyBorder="0" applyAlignment="0" applyProtection="0">
      <alignment vertical="center"/>
    </xf>
    <xf numFmtId="0" fontId="30" fillId="1089" borderId="0" applyNumberFormat="0" applyBorder="0" applyAlignment="0" applyProtection="0">
      <alignment vertical="center"/>
    </xf>
    <xf numFmtId="0" fontId="31" fillId="1090" borderId="0" applyNumberFormat="0" applyBorder="0" applyAlignment="0" applyProtection="0">
      <alignment vertical="center"/>
    </xf>
    <xf numFmtId="0" fontId="32" fillId="776" borderId="0" applyNumberFormat="0" applyBorder="0" applyAlignment="0" applyProtection="0">
      <alignment vertical="center"/>
    </xf>
    <xf numFmtId="0" fontId="32" fillId="1091" borderId="0" applyNumberFormat="0" applyBorder="0" applyAlignment="0" applyProtection="0">
      <alignment vertical="center"/>
    </xf>
    <xf numFmtId="0" fontId="31" fillId="1092" borderId="0" applyNumberFormat="0" applyBorder="0" applyAlignment="0" applyProtection="0">
      <alignment vertical="center"/>
    </xf>
    <xf numFmtId="0" fontId="31" fillId="1093" borderId="0" applyNumberFormat="0" applyBorder="0" applyAlignment="0" applyProtection="0">
      <alignment vertical="center"/>
    </xf>
    <xf numFmtId="0" fontId="32" fillId="1094" borderId="0" applyNumberFormat="0" applyBorder="0" applyAlignment="0" applyProtection="0">
      <alignment vertical="center"/>
    </xf>
    <xf numFmtId="0" fontId="32" fillId="1095" borderId="0" applyNumberFormat="0" applyBorder="0" applyAlignment="0" applyProtection="0">
      <alignment vertical="center"/>
    </xf>
    <xf numFmtId="0" fontId="31" fillId="1096" borderId="0" applyNumberFormat="0" applyBorder="0" applyAlignment="0" applyProtection="0">
      <alignment vertical="center"/>
    </xf>
    <xf numFmtId="0" fontId="31" fillId="1097" borderId="0" applyNumberFormat="0" applyBorder="0" applyAlignment="0" applyProtection="0">
      <alignment vertical="center"/>
    </xf>
    <xf numFmtId="0" fontId="32" fillId="1098" borderId="0" applyNumberFormat="0" applyBorder="0" applyAlignment="0" applyProtection="0">
      <alignment vertical="center"/>
    </xf>
    <xf numFmtId="0" fontId="32" fillId="1099" borderId="0" applyNumberFormat="0" applyBorder="0" applyAlignment="0" applyProtection="0">
      <alignment vertical="center"/>
    </xf>
    <xf numFmtId="0" fontId="31" fillId="1100" borderId="0" applyNumberFormat="0" applyBorder="0" applyAlignment="0" applyProtection="0">
      <alignment vertical="center"/>
    </xf>
    <xf numFmtId="0" fontId="31" fillId="1101" borderId="0" applyNumberFormat="0" applyBorder="0" applyAlignment="0" applyProtection="0">
      <alignment vertical="center"/>
    </xf>
    <xf numFmtId="0" fontId="32" fillId="1102" borderId="0" applyNumberFormat="0" applyBorder="0" applyAlignment="0" applyProtection="0">
      <alignment vertical="center"/>
    </xf>
    <xf numFmtId="0" fontId="32" fillId="1103" borderId="0" applyNumberFormat="0" applyBorder="0" applyAlignment="0" applyProtection="0">
      <alignment vertical="center"/>
    </xf>
    <xf numFmtId="0" fontId="31" fillId="1104" borderId="0" applyNumberFormat="0" applyBorder="0" applyAlignment="0" applyProtection="0">
      <alignment vertical="center"/>
    </xf>
    <xf numFmtId="0" fontId="31" fillId="1105" borderId="0" applyNumberFormat="0" applyBorder="0" applyAlignment="0" applyProtection="0">
      <alignment vertical="center"/>
    </xf>
    <xf numFmtId="0" fontId="32" fillId="1106" borderId="0" applyNumberFormat="0" applyBorder="0" applyAlignment="0" applyProtection="0">
      <alignment vertical="center"/>
    </xf>
    <xf numFmtId="0" fontId="32" fillId="1107" borderId="0" applyNumberFormat="0" applyBorder="0" applyAlignment="0" applyProtection="0">
      <alignment vertical="center"/>
    </xf>
    <xf numFmtId="0" fontId="31" fillId="1108" borderId="0" applyNumberFormat="0" applyBorder="0" applyAlignment="0" applyProtection="0">
      <alignment vertical="center"/>
    </xf>
    <xf numFmtId="0" fontId="31" fillId="1109" borderId="0" applyNumberFormat="0" applyBorder="0" applyAlignment="0" applyProtection="0">
      <alignment vertical="center"/>
    </xf>
    <xf numFmtId="0" fontId="32" fillId="7" borderId="0" applyNumberFormat="0" applyBorder="0" applyAlignment="0" applyProtection="0">
      <alignment vertical="center"/>
    </xf>
    <xf numFmtId="0" fontId="32" fillId="1110" borderId="0" applyNumberFormat="0" applyBorder="0" applyAlignment="0" applyProtection="0">
      <alignment vertical="center"/>
    </xf>
    <xf numFmtId="0" fontId="31" fillId="6" borderId="0" applyNumberFormat="0" applyBorder="0" applyAlignment="0" applyProtection="0">
      <alignment vertical="center"/>
    </xf>
  </cellStyleXfs>
  <cellXfs count="112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Fill="1" applyBorder="1" applyAlignment="1">
      <alignment horizontal="center" vertical="center"/>
    </xf>
    <xf numFmtId="49" fontId="1" fillId="5"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Border="1" applyAlignment="1">
      <alignment horizontal="left" vertical="center" wrapText="1"/>
    </xf>
    <xf numFmtId="0" fontId="1" fillId="5" borderId="1" xfId="0" applyFont="1" applyFill="1" applyBorder="1" applyAlignment="1">
      <alignment horizontal="center" vertical="center"/>
    </xf>
    <xf numFmtId="0" fontId="1" fillId="7" borderId="1" xfId="0"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49" fontId="2"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1" fillId="12" borderId="1" xfId="0" applyFont="1" applyFill="1" applyBorder="1" applyAlignment="1">
      <alignment horizontal="center" vertical="center"/>
    </xf>
    <xf numFmtId="49" fontId="1" fillId="13" borderId="1" xfId="0" applyNumberFormat="1" applyFont="1" applyFill="1" applyBorder="1" applyAlignment="1">
      <alignment horizontal="center" vertical="center"/>
    </xf>
    <xf numFmtId="3" fontId="1" fillId="7" borderId="1" xfId="0" applyNumberFormat="1" applyFont="1" applyFill="1" applyBorder="1" applyAlignment="1">
      <alignment horizontal="center" vertical="center"/>
    </xf>
    <xf numFmtId="49" fontId="1" fillId="14" borderId="1" xfId="0" applyNumberFormat="1" applyFont="1" applyFill="1" applyBorder="1" applyAlignment="1">
      <alignment horizontal="center" vertical="center"/>
    </xf>
    <xf numFmtId="49" fontId="1" fillId="15" borderId="1" xfId="0" applyNumberFormat="1" applyFont="1" applyFill="1" applyBorder="1" applyAlignment="1">
      <alignment horizontal="center" vertical="center"/>
    </xf>
    <xf numFmtId="49" fontId="1" fillId="16" borderId="1" xfId="0" applyNumberFormat="1" applyFont="1" applyFill="1" applyBorder="1" applyAlignment="1">
      <alignment horizontal="center" vertical="center"/>
    </xf>
    <xf numFmtId="0" fontId="1" fillId="17" borderId="1" xfId="0" applyFont="1" applyFill="1" applyBorder="1" applyAlignment="1">
      <alignment horizontal="center" vertical="center"/>
    </xf>
    <xf numFmtId="0" fontId="1" fillId="18" borderId="1" xfId="0" applyFont="1" applyFill="1" applyBorder="1" applyAlignment="1">
      <alignment horizontal="center" vertical="center"/>
    </xf>
    <xf numFmtId="49" fontId="1" fillId="19" borderId="1" xfId="0" applyNumberFormat="1" applyFont="1" applyFill="1" applyBorder="1" applyAlignment="1">
      <alignment horizontal="center" vertical="center"/>
    </xf>
    <xf numFmtId="49" fontId="1" fillId="20" borderId="1" xfId="0" applyNumberFormat="1" applyFont="1" applyFill="1" applyBorder="1" applyAlignment="1">
      <alignment horizontal="center" vertical="center"/>
    </xf>
    <xf numFmtId="0" fontId="1" fillId="21" borderId="1" xfId="0" applyFont="1" applyFill="1" applyBorder="1" applyAlignment="1">
      <alignment horizontal="center" vertical="center"/>
    </xf>
    <xf numFmtId="3" fontId="1" fillId="6" borderId="1" xfId="0" applyNumberFormat="1" applyFont="1" applyFill="1" applyBorder="1" applyAlignment="1">
      <alignment horizontal="center" vertical="center"/>
    </xf>
    <xf numFmtId="0" fontId="1" fillId="22" borderId="1" xfId="0" applyFont="1" applyFill="1" applyBorder="1" applyAlignment="1">
      <alignment horizontal="center" vertical="center"/>
    </xf>
    <xf numFmtId="0" fontId="1" fillId="23" borderId="1" xfId="0" applyFont="1" applyFill="1" applyBorder="1" applyAlignment="1">
      <alignment horizontal="center" vertical="center"/>
    </xf>
    <xf numFmtId="0" fontId="1" fillId="24" borderId="1" xfId="0" applyFont="1" applyFill="1" applyBorder="1" applyAlignment="1">
      <alignment horizontal="center" vertical="center"/>
    </xf>
    <xf numFmtId="0" fontId="1" fillId="25" borderId="1" xfId="0" applyFont="1" applyFill="1" applyBorder="1" applyAlignment="1">
      <alignment horizontal="center" vertical="center"/>
    </xf>
    <xf numFmtId="49" fontId="1" fillId="26" borderId="1" xfId="0" applyNumberFormat="1" applyFont="1" applyFill="1" applyBorder="1" applyAlignment="1">
      <alignment horizontal="center" vertical="center"/>
    </xf>
    <xf numFmtId="0" fontId="1" fillId="27" borderId="1" xfId="0" applyFont="1" applyFill="1" applyBorder="1" applyAlignment="1">
      <alignment horizontal="center" vertical="center"/>
    </xf>
    <xf numFmtId="49" fontId="1" fillId="28" borderId="1" xfId="0" applyNumberFormat="1" applyFont="1" applyFill="1" applyBorder="1" applyAlignment="1">
      <alignment horizontal="center" vertical="center"/>
    </xf>
    <xf numFmtId="0" fontId="1" fillId="29" borderId="1" xfId="0" applyFont="1" applyFill="1" applyBorder="1" applyAlignment="1">
      <alignment horizontal="center" vertical="center"/>
    </xf>
    <xf numFmtId="49" fontId="1" fillId="30" borderId="1" xfId="0" applyNumberFormat="1" applyFont="1" applyFill="1" applyBorder="1" applyAlignment="1">
      <alignment horizontal="center" vertical="center"/>
    </xf>
    <xf numFmtId="0" fontId="1" fillId="31" borderId="1" xfId="0" applyFont="1" applyFill="1" applyBorder="1" applyAlignment="1">
      <alignment horizontal="center" vertical="center"/>
    </xf>
    <xf numFmtId="0" fontId="1" fillId="32" borderId="1" xfId="0" applyFont="1" applyFill="1" applyBorder="1" applyAlignment="1">
      <alignment horizontal="center" vertical="center"/>
    </xf>
    <xf numFmtId="0" fontId="1" fillId="33" borderId="1" xfId="0" applyFont="1" applyFill="1" applyBorder="1" applyAlignment="1">
      <alignment horizontal="center" vertical="center"/>
    </xf>
    <xf numFmtId="0" fontId="1" fillId="34" borderId="1" xfId="0" applyFont="1" applyFill="1" applyBorder="1" applyAlignment="1">
      <alignment horizontal="center" vertical="center"/>
    </xf>
    <xf numFmtId="49" fontId="1" fillId="35" borderId="1" xfId="0" applyNumberFormat="1" applyFont="1" applyFill="1" applyBorder="1" applyAlignment="1">
      <alignment horizontal="center" vertical="center"/>
    </xf>
    <xf numFmtId="0" fontId="1" fillId="36" borderId="1" xfId="0" applyFont="1" applyFill="1" applyBorder="1" applyAlignment="1">
      <alignment horizontal="center" vertical="center"/>
    </xf>
    <xf numFmtId="49" fontId="1" fillId="37" borderId="1" xfId="0" applyNumberFormat="1" applyFont="1" applyFill="1" applyBorder="1" applyAlignment="1">
      <alignment horizontal="center" vertical="center"/>
    </xf>
    <xf numFmtId="0" fontId="1" fillId="38" borderId="1" xfId="0" applyFont="1" applyFill="1" applyBorder="1" applyAlignment="1">
      <alignment horizontal="center" vertical="center"/>
    </xf>
    <xf numFmtId="49" fontId="1" fillId="39" borderId="1" xfId="0" applyNumberFormat="1" applyFont="1" applyFill="1" applyBorder="1" applyAlignment="1">
      <alignment horizontal="center" vertical="center"/>
    </xf>
    <xf numFmtId="0" fontId="1" fillId="40" borderId="1" xfId="0" applyFont="1" applyFill="1" applyBorder="1" applyAlignment="1">
      <alignment horizontal="center" vertical="center"/>
    </xf>
    <xf numFmtId="0" fontId="1" fillId="41" borderId="1" xfId="0" applyFont="1" applyFill="1" applyBorder="1" applyAlignment="1">
      <alignment horizontal="center" vertical="center"/>
    </xf>
    <xf numFmtId="0" fontId="1" fillId="42" borderId="1" xfId="0" applyFont="1" applyFill="1" applyBorder="1" applyAlignment="1">
      <alignment horizontal="center" vertical="center"/>
    </xf>
    <xf numFmtId="0" fontId="1" fillId="43" borderId="1" xfId="0" applyFont="1" applyFill="1" applyBorder="1" applyAlignment="1">
      <alignment horizontal="center" vertical="center"/>
    </xf>
    <xf numFmtId="49" fontId="1" fillId="44" borderId="1" xfId="0" applyNumberFormat="1" applyFont="1" applyFill="1" applyBorder="1" applyAlignment="1">
      <alignment horizontal="center" vertical="center"/>
    </xf>
    <xf numFmtId="0" fontId="1" fillId="45" borderId="1" xfId="0" applyFont="1" applyFill="1" applyBorder="1" applyAlignment="1">
      <alignment horizontal="center" vertical="center"/>
    </xf>
    <xf numFmtId="0" fontId="1" fillId="46" borderId="1" xfId="0" applyFont="1" applyFill="1" applyBorder="1" applyAlignment="1">
      <alignment horizontal="center" vertical="center"/>
    </xf>
    <xf numFmtId="0" fontId="1" fillId="47" borderId="1" xfId="0" applyFont="1" applyFill="1" applyBorder="1" applyAlignment="1">
      <alignment horizontal="center" vertical="center"/>
    </xf>
    <xf numFmtId="49" fontId="1" fillId="48" borderId="1" xfId="0" applyNumberFormat="1" applyFont="1" applyFill="1" applyBorder="1" applyAlignment="1">
      <alignment horizontal="center" vertical="center"/>
    </xf>
    <xf numFmtId="49" fontId="1" fillId="49" borderId="1" xfId="0" applyNumberFormat="1" applyFont="1" applyFill="1" applyBorder="1" applyAlignment="1">
      <alignment horizontal="center" vertical="center"/>
    </xf>
    <xf numFmtId="0" fontId="1" fillId="50" borderId="1" xfId="0" applyFont="1" applyFill="1" applyBorder="1" applyAlignment="1">
      <alignment horizontal="center" vertical="center"/>
    </xf>
    <xf numFmtId="0" fontId="1" fillId="51" borderId="1" xfId="0" applyFont="1" applyFill="1" applyBorder="1" applyAlignment="1">
      <alignment horizontal="center" vertical="center"/>
    </xf>
    <xf numFmtId="49" fontId="1" fillId="52" borderId="1" xfId="0" applyNumberFormat="1" applyFont="1" applyFill="1" applyBorder="1" applyAlignment="1">
      <alignment horizontal="center" vertical="center"/>
    </xf>
    <xf numFmtId="49" fontId="1" fillId="53" borderId="1" xfId="0" applyNumberFormat="1" applyFont="1" applyFill="1" applyBorder="1" applyAlignment="1">
      <alignment horizontal="center" vertical="center"/>
    </xf>
    <xf numFmtId="0" fontId="1" fillId="54" borderId="1" xfId="0" applyFont="1" applyFill="1" applyBorder="1" applyAlignment="1">
      <alignment horizontal="center" vertical="center"/>
    </xf>
    <xf numFmtId="0" fontId="1" fillId="55" borderId="1" xfId="0" applyFont="1" applyFill="1" applyBorder="1" applyAlignment="1">
      <alignment horizontal="center" vertical="center"/>
    </xf>
    <xf numFmtId="0" fontId="1" fillId="56" borderId="1" xfId="0" applyFont="1" applyFill="1" applyBorder="1" applyAlignment="1">
      <alignment horizontal="center" vertical="center"/>
    </xf>
    <xf numFmtId="0" fontId="1" fillId="57" borderId="1" xfId="0" applyFont="1" applyFill="1" applyBorder="1" applyAlignment="1">
      <alignment horizontal="center" vertical="center"/>
    </xf>
    <xf numFmtId="49" fontId="1" fillId="58" borderId="1" xfId="0" applyNumberFormat="1" applyFont="1" applyFill="1" applyBorder="1" applyAlignment="1">
      <alignment horizontal="center" vertical="center"/>
    </xf>
    <xf numFmtId="0" fontId="1" fillId="59" borderId="1" xfId="0" applyFont="1" applyFill="1" applyBorder="1" applyAlignment="1">
      <alignment horizontal="center" vertical="center"/>
    </xf>
    <xf numFmtId="49" fontId="1" fillId="60" borderId="1" xfId="0" applyNumberFormat="1" applyFont="1" applyFill="1" applyBorder="1" applyAlignment="1">
      <alignment horizontal="center" vertical="center"/>
    </xf>
    <xf numFmtId="0" fontId="1" fillId="61" borderId="1" xfId="0" applyFont="1" applyFill="1" applyBorder="1" applyAlignment="1">
      <alignment horizontal="center" vertical="center"/>
    </xf>
    <xf numFmtId="0" fontId="1" fillId="62" borderId="1" xfId="0" applyFont="1" applyFill="1" applyBorder="1" applyAlignment="1">
      <alignment horizontal="center" vertical="center"/>
    </xf>
    <xf numFmtId="49" fontId="1" fillId="63" borderId="1" xfId="0" applyNumberFormat="1" applyFont="1" applyFill="1" applyBorder="1" applyAlignment="1">
      <alignment horizontal="center" vertical="center"/>
    </xf>
    <xf numFmtId="0" fontId="1" fillId="64" borderId="1" xfId="0" applyFont="1" applyFill="1" applyBorder="1" applyAlignment="1">
      <alignment horizontal="center" vertical="center"/>
    </xf>
    <xf numFmtId="0" fontId="1" fillId="65" borderId="1" xfId="0" applyFont="1" applyFill="1" applyBorder="1" applyAlignment="1">
      <alignment horizontal="center" vertical="center"/>
    </xf>
    <xf numFmtId="0" fontId="1" fillId="66" borderId="1" xfId="0" applyFont="1" applyFill="1" applyBorder="1" applyAlignment="1">
      <alignment horizontal="center" vertical="center"/>
    </xf>
    <xf numFmtId="49" fontId="1" fillId="67" borderId="1" xfId="0" applyNumberFormat="1" applyFont="1" applyFill="1" applyBorder="1" applyAlignment="1">
      <alignment horizontal="center" vertical="center"/>
    </xf>
    <xf numFmtId="0" fontId="1" fillId="68" borderId="1" xfId="0" applyFont="1" applyFill="1" applyBorder="1" applyAlignment="1">
      <alignment horizontal="center" vertical="center"/>
    </xf>
    <xf numFmtId="0" fontId="1" fillId="69" borderId="1" xfId="0" applyFont="1" applyFill="1" applyBorder="1" applyAlignment="1">
      <alignment horizontal="center" vertical="center"/>
    </xf>
    <xf numFmtId="49" fontId="1" fillId="70" borderId="1" xfId="0" applyNumberFormat="1" applyFont="1" applyFill="1" applyBorder="1" applyAlignment="1">
      <alignment horizontal="center" vertical="center"/>
    </xf>
    <xf numFmtId="49" fontId="1" fillId="71" borderId="1" xfId="0" applyNumberFormat="1" applyFont="1" applyFill="1" applyBorder="1" applyAlignment="1">
      <alignment horizontal="center" vertical="center"/>
    </xf>
    <xf numFmtId="0" fontId="1" fillId="9" borderId="1" xfId="0" applyFont="1" applyFill="1" applyBorder="1" applyAlignment="1">
      <alignment horizontal="center" vertical="center" wrapText="1"/>
    </xf>
    <xf numFmtId="0" fontId="1" fillId="72" borderId="1" xfId="0" applyFont="1" applyFill="1" applyBorder="1" applyAlignment="1">
      <alignment horizontal="center" vertical="center"/>
    </xf>
    <xf numFmtId="0" fontId="1" fillId="73" borderId="1" xfId="0" applyFont="1" applyFill="1" applyBorder="1" applyAlignment="1">
      <alignment horizontal="center" vertical="center"/>
    </xf>
    <xf numFmtId="0" fontId="1" fillId="74" borderId="1" xfId="0" applyFont="1" applyFill="1" applyBorder="1" applyAlignment="1">
      <alignment horizontal="center" vertical="center"/>
    </xf>
    <xf numFmtId="0" fontId="1" fillId="75" borderId="1" xfId="0" applyFont="1" applyFill="1" applyBorder="1" applyAlignment="1">
      <alignment horizontal="center" vertical="center"/>
    </xf>
    <xf numFmtId="0" fontId="1" fillId="76" borderId="1" xfId="0" applyFont="1" applyFill="1" applyBorder="1" applyAlignment="1">
      <alignment horizontal="center" vertical="center"/>
    </xf>
    <xf numFmtId="0" fontId="1" fillId="77" borderId="1" xfId="0" applyFont="1" applyFill="1" applyBorder="1" applyAlignment="1">
      <alignment horizontal="center" vertical="center"/>
    </xf>
    <xf numFmtId="49" fontId="1" fillId="78" borderId="1" xfId="0" applyNumberFormat="1" applyFont="1" applyFill="1" applyBorder="1" applyAlignment="1">
      <alignment horizontal="center" vertical="center"/>
    </xf>
    <xf numFmtId="0" fontId="1" fillId="79" borderId="1" xfId="0" applyFont="1" applyFill="1" applyBorder="1" applyAlignment="1">
      <alignment horizontal="center" vertical="center"/>
    </xf>
    <xf numFmtId="49" fontId="1" fillId="80" borderId="1" xfId="0" applyNumberFormat="1" applyFont="1" applyFill="1" applyBorder="1" applyAlignment="1">
      <alignment horizontal="center" vertical="center"/>
    </xf>
    <xf numFmtId="0" fontId="1" fillId="81" borderId="1" xfId="0" applyFont="1" applyFill="1" applyBorder="1" applyAlignment="1">
      <alignment horizontal="center" vertical="center"/>
    </xf>
    <xf numFmtId="0" fontId="1" fillId="82" borderId="1" xfId="0" applyFont="1" applyFill="1" applyBorder="1" applyAlignment="1">
      <alignment horizontal="center" vertical="center"/>
    </xf>
    <xf numFmtId="0" fontId="1" fillId="83" borderId="1" xfId="0" applyFont="1" applyFill="1" applyBorder="1" applyAlignment="1">
      <alignment horizontal="center" vertical="center"/>
    </xf>
    <xf numFmtId="0" fontId="1" fillId="84" borderId="1" xfId="0" applyFont="1" applyFill="1" applyBorder="1" applyAlignment="1">
      <alignment horizontal="center" vertical="center"/>
    </xf>
    <xf numFmtId="0" fontId="1" fillId="85" borderId="1" xfId="0" applyFont="1" applyFill="1" applyBorder="1" applyAlignment="1">
      <alignment horizontal="center" vertical="center"/>
    </xf>
    <xf numFmtId="0" fontId="1" fillId="86" borderId="1" xfId="0" applyFont="1" applyFill="1" applyBorder="1" applyAlignment="1">
      <alignment horizontal="center" vertical="center"/>
    </xf>
    <xf numFmtId="49" fontId="1" fillId="87" borderId="1" xfId="0" applyNumberFormat="1" applyFont="1" applyFill="1" applyBorder="1" applyAlignment="1">
      <alignment horizontal="center" vertical="center"/>
    </xf>
    <xf numFmtId="49" fontId="1" fillId="88" borderId="1" xfId="0" applyNumberFormat="1" applyFont="1" applyFill="1" applyBorder="1" applyAlignment="1">
      <alignment horizontal="center" vertical="center"/>
    </xf>
    <xf numFmtId="0" fontId="1" fillId="89" borderId="1" xfId="0" applyFont="1" applyFill="1" applyBorder="1" applyAlignment="1">
      <alignment horizontal="center" vertical="center"/>
    </xf>
    <xf numFmtId="0" fontId="1" fillId="90" borderId="1" xfId="0" applyFont="1" applyFill="1" applyBorder="1" applyAlignment="1">
      <alignment horizontal="center" vertical="center"/>
    </xf>
    <xf numFmtId="0" fontId="1" fillId="91" borderId="1" xfId="0" applyFont="1" applyFill="1" applyBorder="1" applyAlignment="1">
      <alignment horizontal="center" vertical="center"/>
    </xf>
    <xf numFmtId="0" fontId="1" fillId="92" borderId="1" xfId="0" applyFont="1" applyFill="1" applyBorder="1" applyAlignment="1">
      <alignment horizontal="center" vertical="center"/>
    </xf>
    <xf numFmtId="49" fontId="1" fillId="93" borderId="1" xfId="0" applyNumberFormat="1" applyFont="1" applyFill="1" applyBorder="1" applyAlignment="1">
      <alignment horizontal="center" vertical="center"/>
    </xf>
    <xf numFmtId="0" fontId="1" fillId="94" borderId="1" xfId="0" applyFont="1" applyFill="1" applyBorder="1" applyAlignment="1">
      <alignment horizontal="center" vertical="center"/>
    </xf>
    <xf numFmtId="0" fontId="1" fillId="95" borderId="1" xfId="0" applyFont="1" applyFill="1" applyBorder="1" applyAlignment="1">
      <alignment horizontal="center" vertical="center"/>
    </xf>
    <xf numFmtId="0" fontId="1" fillId="96" borderId="1" xfId="0" applyFont="1" applyFill="1" applyBorder="1" applyAlignment="1">
      <alignment horizontal="center" vertical="center"/>
    </xf>
    <xf numFmtId="49" fontId="1" fillId="97" borderId="1" xfId="0" applyNumberFormat="1" applyFont="1" applyFill="1" applyBorder="1" applyAlignment="1">
      <alignment horizontal="center" vertical="center"/>
    </xf>
    <xf numFmtId="49" fontId="1" fillId="98" borderId="1" xfId="0" applyNumberFormat="1" applyFont="1" applyFill="1" applyBorder="1" applyAlignment="1">
      <alignment horizontal="center" vertical="center"/>
    </xf>
    <xf numFmtId="0" fontId="1" fillId="99" borderId="1" xfId="0" applyFont="1" applyFill="1" applyBorder="1" applyAlignment="1">
      <alignment horizontal="center" vertical="center"/>
    </xf>
    <xf numFmtId="0" fontId="1" fillId="100" borderId="1" xfId="0" applyFont="1" applyFill="1" applyBorder="1" applyAlignment="1">
      <alignment horizontal="center" vertical="center"/>
    </xf>
    <xf numFmtId="0" fontId="1" fillId="101" borderId="1" xfId="0" applyFont="1" applyFill="1" applyBorder="1" applyAlignment="1">
      <alignment horizontal="center" vertical="center"/>
    </xf>
    <xf numFmtId="0" fontId="1" fillId="102" borderId="1" xfId="0" applyFont="1" applyFill="1" applyBorder="1" applyAlignment="1">
      <alignment horizontal="center" vertical="center"/>
    </xf>
    <xf numFmtId="0" fontId="1" fillId="103" borderId="1" xfId="0" applyFont="1" applyFill="1" applyBorder="1" applyAlignment="1">
      <alignment horizontal="center" vertical="center"/>
    </xf>
    <xf numFmtId="0" fontId="1" fillId="104" borderId="1" xfId="0" applyFont="1" applyFill="1" applyBorder="1" applyAlignment="1">
      <alignment horizontal="center" vertical="center"/>
    </xf>
    <xf numFmtId="49" fontId="1" fillId="105" borderId="1" xfId="0" applyNumberFormat="1" applyFont="1" applyFill="1" applyBorder="1" applyAlignment="1">
      <alignment horizontal="center" vertical="center"/>
    </xf>
    <xf numFmtId="49" fontId="1" fillId="106" borderId="1" xfId="0" applyNumberFormat="1" applyFont="1" applyFill="1" applyBorder="1" applyAlignment="1">
      <alignment horizontal="center" vertical="center"/>
    </xf>
    <xf numFmtId="0" fontId="1" fillId="107" borderId="1" xfId="0" applyFont="1" applyFill="1" applyBorder="1" applyAlignment="1">
      <alignment horizontal="center" vertical="center"/>
    </xf>
    <xf numFmtId="0" fontId="1" fillId="108" borderId="1" xfId="0" applyFont="1" applyFill="1" applyBorder="1" applyAlignment="1">
      <alignment horizontal="center" vertical="center"/>
    </xf>
    <xf numFmtId="0" fontId="1" fillId="109" borderId="1" xfId="0" applyFont="1" applyFill="1" applyBorder="1" applyAlignment="1">
      <alignment horizontal="center" vertical="center"/>
    </xf>
    <xf numFmtId="49" fontId="1" fillId="110" borderId="1" xfId="0" applyNumberFormat="1" applyFont="1" applyFill="1" applyBorder="1" applyAlignment="1">
      <alignment horizontal="center" vertical="center"/>
    </xf>
    <xf numFmtId="49" fontId="1" fillId="111" borderId="1" xfId="0" applyNumberFormat="1" applyFont="1" applyFill="1" applyBorder="1" applyAlignment="1">
      <alignment horizontal="center" vertical="center"/>
    </xf>
    <xf numFmtId="49" fontId="1" fillId="112" borderId="1" xfId="0" applyNumberFormat="1" applyFont="1" applyFill="1" applyBorder="1" applyAlignment="1">
      <alignment horizontal="center" vertical="center"/>
    </xf>
    <xf numFmtId="0" fontId="1" fillId="113" borderId="1" xfId="0" applyFont="1" applyFill="1" applyBorder="1" applyAlignment="1">
      <alignment horizontal="center" vertical="center"/>
    </xf>
    <xf numFmtId="49" fontId="1" fillId="114" borderId="1" xfId="0" applyNumberFormat="1" applyFont="1" applyFill="1" applyBorder="1" applyAlignment="1">
      <alignment horizontal="center" vertical="center"/>
    </xf>
    <xf numFmtId="0" fontId="1" fillId="115" borderId="1" xfId="0" applyFont="1" applyFill="1" applyBorder="1" applyAlignment="1">
      <alignment horizontal="center" vertical="center"/>
    </xf>
    <xf numFmtId="0" fontId="1" fillId="116" borderId="1" xfId="0" applyFont="1" applyFill="1" applyBorder="1" applyAlignment="1">
      <alignment horizontal="center" vertical="center"/>
    </xf>
    <xf numFmtId="0" fontId="1" fillId="117" borderId="1" xfId="0" applyFont="1" applyFill="1" applyBorder="1" applyAlignment="1">
      <alignment horizontal="center" vertical="center"/>
    </xf>
    <xf numFmtId="0" fontId="1" fillId="118" borderId="1" xfId="0" applyFont="1" applyFill="1" applyBorder="1" applyAlignment="1">
      <alignment horizontal="center" vertical="center"/>
    </xf>
    <xf numFmtId="49" fontId="1" fillId="119" borderId="1" xfId="0" applyNumberFormat="1" applyFont="1" applyFill="1" applyBorder="1" applyAlignment="1">
      <alignment horizontal="center" vertical="center"/>
    </xf>
    <xf numFmtId="0" fontId="1" fillId="120" borderId="1" xfId="0" applyFont="1" applyFill="1" applyBorder="1" applyAlignment="1">
      <alignment horizontal="center" vertical="center"/>
    </xf>
    <xf numFmtId="0" fontId="1" fillId="121" borderId="1" xfId="0" applyFont="1" applyFill="1" applyBorder="1" applyAlignment="1">
      <alignment horizontal="center" vertical="center"/>
    </xf>
    <xf numFmtId="0" fontId="1" fillId="122" borderId="1" xfId="0" applyFont="1" applyFill="1" applyBorder="1" applyAlignment="1">
      <alignment horizontal="center" vertical="center"/>
    </xf>
    <xf numFmtId="0" fontId="1" fillId="123" borderId="1" xfId="0" applyFont="1" applyFill="1" applyBorder="1" applyAlignment="1">
      <alignment horizontal="center" vertical="center"/>
    </xf>
    <xf numFmtId="49" fontId="1" fillId="124" borderId="1" xfId="0" applyNumberFormat="1" applyFont="1" applyFill="1" applyBorder="1" applyAlignment="1">
      <alignment horizontal="center" vertical="center"/>
    </xf>
    <xf numFmtId="0" fontId="1" fillId="125" borderId="1" xfId="0" applyFont="1" applyFill="1" applyBorder="1" applyAlignment="1">
      <alignment horizontal="center" vertical="center"/>
    </xf>
    <xf numFmtId="49" fontId="1" fillId="126" borderId="1" xfId="0" applyNumberFormat="1" applyFont="1" applyFill="1" applyBorder="1" applyAlignment="1">
      <alignment horizontal="center" vertical="center"/>
    </xf>
    <xf numFmtId="0" fontId="1" fillId="127" borderId="1" xfId="0" applyFont="1" applyFill="1" applyBorder="1" applyAlignment="1">
      <alignment horizontal="center" vertical="center"/>
    </xf>
    <xf numFmtId="0" fontId="1" fillId="128" borderId="1" xfId="0" applyFont="1" applyFill="1" applyBorder="1" applyAlignment="1">
      <alignment horizontal="center" vertical="center"/>
    </xf>
    <xf numFmtId="0" fontId="1" fillId="129" borderId="1" xfId="0" applyFont="1" applyFill="1" applyBorder="1" applyAlignment="1">
      <alignment horizontal="center" vertical="center"/>
    </xf>
    <xf numFmtId="0" fontId="1" fillId="130" borderId="1" xfId="0" applyFont="1" applyFill="1" applyBorder="1" applyAlignment="1">
      <alignment horizontal="center" vertical="center"/>
    </xf>
    <xf numFmtId="0" fontId="1" fillId="131" borderId="1" xfId="0" applyFont="1" applyFill="1" applyBorder="1" applyAlignment="1">
      <alignment horizontal="center" vertical="center"/>
    </xf>
    <xf numFmtId="0" fontId="1" fillId="132" borderId="1" xfId="0" applyFont="1" applyFill="1" applyBorder="1" applyAlignment="1">
      <alignment horizontal="center" vertical="center"/>
    </xf>
    <xf numFmtId="49" fontId="1" fillId="133" borderId="1" xfId="0" applyNumberFormat="1" applyFont="1" applyFill="1" applyBorder="1" applyAlignment="1">
      <alignment horizontal="center" vertical="center"/>
    </xf>
    <xf numFmtId="0" fontId="3" fillId="134" borderId="1" xfId="0" applyFont="1" applyFill="1" applyBorder="1" applyAlignment="1">
      <alignment horizontal="center" vertical="center"/>
    </xf>
    <xf numFmtId="0" fontId="1" fillId="135" borderId="1" xfId="0" applyFont="1" applyFill="1" applyBorder="1" applyAlignment="1">
      <alignment horizontal="center" vertical="center"/>
    </xf>
    <xf numFmtId="0" fontId="1" fillId="136" borderId="1" xfId="0" applyFont="1" applyFill="1" applyBorder="1" applyAlignment="1">
      <alignment horizontal="center" vertical="center"/>
    </xf>
    <xf numFmtId="0" fontId="1" fillId="137" borderId="1" xfId="0" applyFont="1" applyFill="1" applyBorder="1" applyAlignment="1">
      <alignment horizontal="center" vertical="center"/>
    </xf>
    <xf numFmtId="0" fontId="1" fillId="138" borderId="1" xfId="0" applyFont="1" applyFill="1" applyBorder="1" applyAlignment="1">
      <alignment horizontal="center" vertical="center"/>
    </xf>
    <xf numFmtId="0" fontId="1" fillId="139" borderId="1" xfId="0" applyFont="1" applyFill="1" applyBorder="1" applyAlignment="1">
      <alignment horizontal="center" vertical="center"/>
    </xf>
    <xf numFmtId="0" fontId="1" fillId="140" borderId="1" xfId="0" applyFont="1" applyFill="1" applyBorder="1" applyAlignment="1">
      <alignment horizontal="center" vertical="center"/>
    </xf>
    <xf numFmtId="49" fontId="1" fillId="141" borderId="1" xfId="0" applyNumberFormat="1" applyFont="1" applyFill="1" applyBorder="1" applyAlignment="1">
      <alignment horizontal="center" vertical="center"/>
    </xf>
    <xf numFmtId="0" fontId="1" fillId="142" borderId="1" xfId="0" applyFont="1" applyFill="1" applyBorder="1" applyAlignment="1">
      <alignment horizontal="center" vertical="center"/>
    </xf>
    <xf numFmtId="0" fontId="1" fillId="143" borderId="1" xfId="0" applyFont="1" applyFill="1" applyBorder="1" applyAlignment="1">
      <alignment horizontal="center" vertical="center"/>
    </xf>
    <xf numFmtId="0" fontId="1" fillId="144" borderId="1" xfId="0" applyFont="1" applyFill="1" applyBorder="1" applyAlignment="1">
      <alignment horizontal="center" vertical="center"/>
    </xf>
    <xf numFmtId="0" fontId="1" fillId="145" borderId="1" xfId="0" applyFont="1" applyFill="1" applyBorder="1" applyAlignment="1">
      <alignment horizontal="center" vertical="center"/>
    </xf>
    <xf numFmtId="0" fontId="1" fillId="146" borderId="1" xfId="0" applyFont="1" applyFill="1" applyBorder="1" applyAlignment="1">
      <alignment horizontal="center" vertical="center"/>
    </xf>
    <xf numFmtId="0" fontId="1" fillId="147" borderId="1" xfId="0" applyFont="1" applyFill="1" applyBorder="1" applyAlignment="1">
      <alignment horizontal="center" vertical="center"/>
    </xf>
    <xf numFmtId="0" fontId="1" fillId="148" borderId="1" xfId="0" applyFont="1" applyFill="1" applyBorder="1" applyAlignment="1">
      <alignment horizontal="center" vertical="center"/>
    </xf>
    <xf numFmtId="0" fontId="1" fillId="149" borderId="1" xfId="0" applyFont="1" applyFill="1" applyBorder="1" applyAlignment="1">
      <alignment horizontal="center" vertical="center"/>
    </xf>
    <xf numFmtId="49" fontId="1" fillId="150" borderId="1" xfId="0" applyNumberFormat="1" applyFont="1" applyFill="1" applyBorder="1" applyAlignment="1">
      <alignment horizontal="center" vertical="center"/>
    </xf>
    <xf numFmtId="0" fontId="1" fillId="151" borderId="1" xfId="0" applyFont="1" applyFill="1" applyBorder="1" applyAlignment="1">
      <alignment horizontal="center" vertical="center"/>
    </xf>
    <xf numFmtId="0" fontId="1" fillId="152" borderId="1" xfId="0" applyFont="1" applyFill="1" applyBorder="1" applyAlignment="1">
      <alignment horizontal="center" vertical="center"/>
    </xf>
    <xf numFmtId="0" fontId="1" fillId="153" borderId="1" xfId="0" applyFont="1" applyFill="1" applyBorder="1" applyAlignment="1">
      <alignment horizontal="center" vertical="center"/>
    </xf>
    <xf numFmtId="0" fontId="1" fillId="154" borderId="1" xfId="0" applyFont="1" applyFill="1" applyBorder="1" applyAlignment="1">
      <alignment horizontal="center" vertical="center"/>
    </xf>
    <xf numFmtId="0" fontId="1" fillId="155" borderId="1" xfId="0" applyFont="1" applyFill="1" applyBorder="1" applyAlignment="1">
      <alignment horizontal="center" vertical="center"/>
    </xf>
    <xf numFmtId="0" fontId="1" fillId="156" borderId="1" xfId="0" applyFont="1" applyFill="1" applyBorder="1" applyAlignment="1">
      <alignment horizontal="center" vertical="center"/>
    </xf>
    <xf numFmtId="0" fontId="1" fillId="157" borderId="1" xfId="0" applyFont="1" applyFill="1" applyBorder="1" applyAlignment="1">
      <alignment horizontal="center" vertical="center"/>
    </xf>
    <xf numFmtId="0" fontId="1" fillId="158" borderId="1" xfId="0" applyFont="1" applyFill="1" applyBorder="1" applyAlignment="1">
      <alignment horizontal="center" vertical="center"/>
    </xf>
    <xf numFmtId="0" fontId="1" fillId="159" borderId="1" xfId="0" applyFont="1" applyFill="1" applyBorder="1" applyAlignment="1">
      <alignment horizontal="center" vertical="center"/>
    </xf>
    <xf numFmtId="0" fontId="1" fillId="160" borderId="1" xfId="0" applyFont="1" applyFill="1" applyBorder="1" applyAlignment="1">
      <alignment horizontal="center" vertical="center"/>
    </xf>
    <xf numFmtId="49" fontId="1" fillId="161" borderId="1" xfId="0" applyNumberFormat="1" applyFont="1" applyFill="1" applyBorder="1" applyAlignment="1">
      <alignment horizontal="center" vertical="center"/>
    </xf>
    <xf numFmtId="49" fontId="1" fillId="162" borderId="1" xfId="0" applyNumberFormat="1" applyFont="1" applyFill="1" applyBorder="1" applyAlignment="1">
      <alignment horizontal="center" vertical="center"/>
    </xf>
    <xf numFmtId="0" fontId="1" fillId="163" borderId="1" xfId="0" applyFont="1" applyFill="1" applyBorder="1" applyAlignment="1">
      <alignment horizontal="center" vertical="center"/>
    </xf>
    <xf numFmtId="0" fontId="1" fillId="164" borderId="1" xfId="0" applyFont="1" applyFill="1" applyBorder="1" applyAlignment="1">
      <alignment horizontal="center" vertical="center"/>
    </xf>
    <xf numFmtId="49" fontId="1" fillId="165" borderId="1" xfId="0" applyNumberFormat="1" applyFont="1" applyFill="1" applyBorder="1" applyAlignment="1">
      <alignment horizontal="center" vertical="center"/>
    </xf>
    <xf numFmtId="0" fontId="1" fillId="166" borderId="1" xfId="0" applyFont="1" applyFill="1" applyBorder="1" applyAlignment="1">
      <alignment horizontal="center" vertical="center"/>
    </xf>
    <xf numFmtId="0" fontId="1" fillId="167" borderId="1" xfId="0" applyFont="1" applyFill="1" applyBorder="1" applyAlignment="1">
      <alignment horizontal="center" vertical="center"/>
    </xf>
    <xf numFmtId="49" fontId="1" fillId="168" borderId="1" xfId="0" applyNumberFormat="1" applyFont="1" applyFill="1" applyBorder="1" applyAlignment="1">
      <alignment horizontal="center" vertical="center"/>
    </xf>
    <xf numFmtId="0" fontId="1" fillId="169" borderId="1" xfId="0" applyFont="1" applyFill="1" applyBorder="1" applyAlignment="1">
      <alignment horizontal="center" vertical="center"/>
    </xf>
    <xf numFmtId="49" fontId="1" fillId="170" borderId="1" xfId="0" applyNumberFormat="1" applyFont="1" applyFill="1" applyBorder="1" applyAlignment="1">
      <alignment horizontal="center" vertical="center"/>
    </xf>
    <xf numFmtId="49" fontId="1" fillId="171" borderId="1" xfId="0" applyNumberFormat="1" applyFont="1" applyFill="1" applyBorder="1" applyAlignment="1">
      <alignment horizontal="center" vertical="center"/>
    </xf>
    <xf numFmtId="0" fontId="1" fillId="172" borderId="1" xfId="0" applyFont="1" applyFill="1" applyBorder="1" applyAlignment="1">
      <alignment horizontal="center" vertical="center"/>
    </xf>
    <xf numFmtId="0" fontId="1" fillId="173" borderId="1" xfId="0" applyFont="1" applyFill="1" applyBorder="1" applyAlignment="1">
      <alignment horizontal="center" vertical="center"/>
    </xf>
    <xf numFmtId="49" fontId="1" fillId="174" borderId="1" xfId="0" applyNumberFormat="1" applyFont="1" applyFill="1" applyBorder="1" applyAlignment="1">
      <alignment horizontal="center" vertical="center"/>
    </xf>
    <xf numFmtId="0" fontId="1" fillId="175" borderId="1" xfId="0" applyFont="1" applyFill="1" applyBorder="1" applyAlignment="1">
      <alignment horizontal="center" vertical="center"/>
    </xf>
    <xf numFmtId="0" fontId="1" fillId="176" borderId="1" xfId="0" applyFont="1" applyFill="1" applyBorder="1" applyAlignment="1">
      <alignment horizontal="center" vertical="center"/>
    </xf>
    <xf numFmtId="49" fontId="1" fillId="177" borderId="1" xfId="0" applyNumberFormat="1" applyFont="1" applyFill="1" applyBorder="1" applyAlignment="1">
      <alignment horizontal="center" vertical="center"/>
    </xf>
    <xf numFmtId="49" fontId="1" fillId="178" borderId="1" xfId="0" applyNumberFormat="1" applyFont="1" applyFill="1" applyBorder="1" applyAlignment="1">
      <alignment horizontal="center" vertical="center"/>
    </xf>
    <xf numFmtId="49" fontId="1" fillId="179" borderId="1" xfId="0" applyNumberFormat="1" applyFont="1" applyFill="1" applyBorder="1" applyAlignment="1">
      <alignment horizontal="center" vertical="center"/>
    </xf>
    <xf numFmtId="49" fontId="1" fillId="180" borderId="1" xfId="0" applyNumberFormat="1" applyFont="1" applyFill="1" applyBorder="1" applyAlignment="1">
      <alignment horizontal="center" vertical="center"/>
    </xf>
    <xf numFmtId="0" fontId="1" fillId="181" borderId="1" xfId="0" applyFont="1" applyFill="1" applyBorder="1" applyAlignment="1">
      <alignment horizontal="center" vertical="center"/>
    </xf>
    <xf numFmtId="49" fontId="1" fillId="182" borderId="1" xfId="0" applyNumberFormat="1" applyFont="1" applyFill="1" applyBorder="1" applyAlignment="1">
      <alignment horizontal="center" vertical="center"/>
    </xf>
    <xf numFmtId="49" fontId="1" fillId="183" borderId="1" xfId="0" applyNumberFormat="1" applyFont="1" applyFill="1" applyBorder="1" applyAlignment="1">
      <alignment horizontal="center" vertical="center"/>
    </xf>
    <xf numFmtId="0" fontId="1" fillId="184" borderId="1" xfId="0" applyFont="1" applyFill="1" applyBorder="1" applyAlignment="1">
      <alignment horizontal="center" vertical="center"/>
    </xf>
    <xf numFmtId="0" fontId="1" fillId="185" borderId="1" xfId="0" applyFont="1" applyFill="1" applyBorder="1" applyAlignment="1">
      <alignment horizontal="center" vertical="center"/>
    </xf>
    <xf numFmtId="49" fontId="1" fillId="186" borderId="1" xfId="0" applyNumberFormat="1" applyFont="1" applyFill="1" applyBorder="1" applyAlignment="1">
      <alignment horizontal="center" vertical="center"/>
    </xf>
    <xf numFmtId="0" fontId="1" fillId="187" borderId="1" xfId="0" applyFont="1" applyFill="1" applyBorder="1" applyAlignment="1">
      <alignment horizontal="center" vertical="center"/>
    </xf>
    <xf numFmtId="0" fontId="1" fillId="188" borderId="1" xfId="0" applyFont="1" applyFill="1" applyBorder="1" applyAlignment="1">
      <alignment horizontal="center" vertical="center"/>
    </xf>
    <xf numFmtId="0" fontId="1" fillId="189" borderId="1" xfId="0" applyFont="1" applyFill="1" applyBorder="1" applyAlignment="1">
      <alignment horizontal="center" vertical="center"/>
    </xf>
    <xf numFmtId="0" fontId="1" fillId="190" borderId="1" xfId="0" applyFont="1" applyFill="1" applyBorder="1" applyAlignment="1">
      <alignment horizontal="center" vertical="center"/>
    </xf>
    <xf numFmtId="0" fontId="1" fillId="191" borderId="1" xfId="0" applyFont="1" applyFill="1" applyBorder="1" applyAlignment="1">
      <alignment horizontal="center" vertical="center"/>
    </xf>
    <xf numFmtId="0" fontId="1" fillId="192" borderId="1" xfId="0" applyFont="1" applyFill="1" applyBorder="1" applyAlignment="1">
      <alignment horizontal="center" vertical="center"/>
    </xf>
    <xf numFmtId="49" fontId="1" fillId="193" borderId="1" xfId="0" applyNumberFormat="1" applyFont="1" applyFill="1" applyBorder="1" applyAlignment="1">
      <alignment horizontal="center" vertical="center"/>
    </xf>
    <xf numFmtId="0" fontId="1" fillId="194" borderId="1" xfId="0" applyFont="1" applyFill="1" applyBorder="1" applyAlignment="1">
      <alignment horizontal="center" vertical="center"/>
    </xf>
    <xf numFmtId="0" fontId="1" fillId="195" borderId="1" xfId="0" applyFont="1" applyFill="1" applyBorder="1" applyAlignment="1">
      <alignment horizontal="center" vertical="center"/>
    </xf>
    <xf numFmtId="0" fontId="1" fillId="196" borderId="1" xfId="0" applyFont="1" applyFill="1" applyBorder="1" applyAlignment="1">
      <alignment horizontal="center" vertical="center"/>
    </xf>
    <xf numFmtId="49" fontId="1" fillId="197" borderId="1" xfId="0" applyNumberFormat="1" applyFont="1" applyFill="1" applyBorder="1" applyAlignment="1">
      <alignment horizontal="center" vertical="center"/>
    </xf>
    <xf numFmtId="0" fontId="1" fillId="198" borderId="1" xfId="0" applyFont="1" applyFill="1" applyBorder="1" applyAlignment="1">
      <alignment horizontal="center" vertical="center"/>
    </xf>
    <xf numFmtId="0" fontId="1" fillId="199" borderId="1" xfId="0" applyFont="1" applyFill="1" applyBorder="1" applyAlignment="1">
      <alignment horizontal="center" vertical="center"/>
    </xf>
    <xf numFmtId="49" fontId="1" fillId="200" borderId="1" xfId="0" applyNumberFormat="1" applyFont="1" applyFill="1" applyBorder="1" applyAlignment="1">
      <alignment horizontal="center" vertical="center"/>
    </xf>
    <xf numFmtId="0" fontId="1" fillId="201" borderId="1" xfId="0" applyFont="1" applyFill="1" applyBorder="1" applyAlignment="1">
      <alignment horizontal="center" vertical="center"/>
    </xf>
    <xf numFmtId="49" fontId="1" fillId="202" borderId="1" xfId="0" applyNumberFormat="1" applyFont="1" applyFill="1" applyBorder="1" applyAlignment="1">
      <alignment horizontal="center" vertical="center"/>
    </xf>
    <xf numFmtId="0" fontId="1" fillId="203" borderId="1" xfId="0" applyFont="1" applyFill="1" applyBorder="1" applyAlignment="1">
      <alignment horizontal="center" vertical="center"/>
    </xf>
    <xf numFmtId="0" fontId="1" fillId="204" borderId="1" xfId="0" applyFont="1" applyFill="1" applyBorder="1" applyAlignment="1">
      <alignment horizontal="center" vertical="center"/>
    </xf>
    <xf numFmtId="0" fontId="1" fillId="205" borderId="1" xfId="0" applyFont="1" applyFill="1" applyBorder="1" applyAlignment="1">
      <alignment horizontal="center" vertical="center"/>
    </xf>
    <xf numFmtId="49" fontId="1" fillId="206" borderId="1" xfId="0" applyNumberFormat="1" applyFont="1" applyFill="1" applyBorder="1" applyAlignment="1">
      <alignment horizontal="center" vertical="center"/>
    </xf>
    <xf numFmtId="0" fontId="1" fillId="207" borderId="1" xfId="0" applyFont="1" applyFill="1" applyBorder="1" applyAlignment="1">
      <alignment horizontal="center" vertical="center"/>
    </xf>
    <xf numFmtId="0" fontId="1" fillId="208" borderId="1" xfId="0" applyFont="1" applyFill="1" applyBorder="1" applyAlignment="1">
      <alignment horizontal="center" vertical="center"/>
    </xf>
    <xf numFmtId="49" fontId="1" fillId="209" borderId="1" xfId="0" applyNumberFormat="1" applyFont="1" applyFill="1" applyBorder="1" applyAlignment="1">
      <alignment horizontal="center" vertical="center"/>
    </xf>
    <xf numFmtId="0" fontId="1" fillId="210" borderId="1" xfId="0" applyFont="1" applyFill="1" applyBorder="1" applyAlignment="1">
      <alignment horizontal="center" vertical="center"/>
    </xf>
    <xf numFmtId="0" fontId="1" fillId="211" borderId="1" xfId="0" applyFont="1" applyFill="1" applyBorder="1" applyAlignment="1">
      <alignment horizontal="center" vertical="center"/>
    </xf>
    <xf numFmtId="0" fontId="1" fillId="212" borderId="1" xfId="0" applyFont="1" applyFill="1" applyBorder="1" applyAlignment="1">
      <alignment horizontal="center" vertical="center"/>
    </xf>
    <xf numFmtId="49" fontId="1" fillId="213" borderId="1" xfId="0" applyNumberFormat="1" applyFont="1" applyFill="1" applyBorder="1" applyAlignment="1">
      <alignment horizontal="center" vertical="center"/>
    </xf>
    <xf numFmtId="49" fontId="1" fillId="214" borderId="1" xfId="0" applyNumberFormat="1" applyFont="1" applyFill="1" applyBorder="1" applyAlignment="1">
      <alignment horizontal="center" vertical="center"/>
    </xf>
    <xf numFmtId="49" fontId="1" fillId="215" borderId="1" xfId="0" applyNumberFormat="1" applyFont="1" applyFill="1" applyBorder="1" applyAlignment="1">
      <alignment horizontal="center" vertical="center"/>
    </xf>
    <xf numFmtId="0" fontId="1" fillId="216" borderId="1" xfId="0" applyFont="1" applyFill="1" applyBorder="1" applyAlignment="1">
      <alignment horizontal="center" vertical="center"/>
    </xf>
    <xf numFmtId="49" fontId="1" fillId="217" borderId="1" xfId="0" applyNumberFormat="1" applyFont="1" applyFill="1" applyBorder="1" applyAlignment="1">
      <alignment horizontal="center" vertical="center"/>
    </xf>
    <xf numFmtId="49" fontId="1" fillId="218" borderId="1" xfId="0" applyNumberFormat="1" applyFont="1" applyFill="1" applyBorder="1" applyAlignment="1">
      <alignment horizontal="center" vertical="center"/>
    </xf>
    <xf numFmtId="49" fontId="1" fillId="219" borderId="1" xfId="0" applyNumberFormat="1" applyFont="1" applyFill="1" applyBorder="1" applyAlignment="1">
      <alignment horizontal="center" vertical="center"/>
    </xf>
    <xf numFmtId="0" fontId="1" fillId="220" borderId="1" xfId="0" applyFont="1" applyFill="1" applyBorder="1" applyAlignment="1">
      <alignment horizontal="center" vertical="center"/>
    </xf>
    <xf numFmtId="0" fontId="1" fillId="221" borderId="1" xfId="0" applyFont="1" applyFill="1" applyBorder="1" applyAlignment="1">
      <alignment horizontal="center" vertical="center"/>
    </xf>
    <xf numFmtId="0" fontId="1" fillId="222" borderId="1" xfId="0" applyFont="1" applyFill="1" applyBorder="1" applyAlignment="1">
      <alignment horizontal="center" vertical="center"/>
    </xf>
    <xf numFmtId="49" fontId="1" fillId="223" borderId="1"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1" fillId="224" borderId="1" xfId="0" applyFont="1" applyFill="1" applyBorder="1" applyAlignment="1">
      <alignment horizontal="center" vertical="center"/>
    </xf>
    <xf numFmtId="0" fontId="1" fillId="225" borderId="1" xfId="0" applyFont="1" applyFill="1" applyBorder="1" applyAlignment="1">
      <alignment horizontal="center" vertical="center"/>
    </xf>
    <xf numFmtId="49" fontId="1" fillId="226" borderId="1" xfId="0" applyNumberFormat="1" applyFont="1" applyFill="1" applyBorder="1" applyAlignment="1">
      <alignment horizontal="center" vertical="center"/>
    </xf>
    <xf numFmtId="49" fontId="1" fillId="227" borderId="1" xfId="0" applyNumberFormat="1" applyFont="1" applyFill="1" applyBorder="1" applyAlignment="1">
      <alignment horizontal="center" vertical="center"/>
    </xf>
    <xf numFmtId="0" fontId="1" fillId="228" borderId="1" xfId="0" applyFont="1" applyFill="1" applyBorder="1" applyAlignment="1">
      <alignment horizontal="center" vertical="center"/>
    </xf>
    <xf numFmtId="0" fontId="1" fillId="229" borderId="1" xfId="0" applyFont="1" applyFill="1" applyBorder="1" applyAlignment="1">
      <alignment horizontal="center" vertical="center"/>
    </xf>
    <xf numFmtId="0" fontId="1" fillId="230" borderId="1" xfId="0" applyFont="1" applyFill="1" applyBorder="1" applyAlignment="1">
      <alignment horizontal="center" vertical="center"/>
    </xf>
    <xf numFmtId="0" fontId="1" fillId="231" borderId="1" xfId="0" applyFont="1" applyFill="1" applyBorder="1" applyAlignment="1">
      <alignment horizontal="center" vertical="center"/>
    </xf>
    <xf numFmtId="49" fontId="1" fillId="232" borderId="1" xfId="0" applyNumberFormat="1" applyFont="1" applyFill="1" applyBorder="1" applyAlignment="1">
      <alignment horizontal="center" vertical="center"/>
    </xf>
    <xf numFmtId="49" fontId="1" fillId="233" borderId="1" xfId="0" applyNumberFormat="1" applyFont="1" applyFill="1" applyBorder="1" applyAlignment="1">
      <alignment horizontal="center" vertical="center"/>
    </xf>
    <xf numFmtId="49" fontId="1" fillId="234" borderId="1" xfId="0" applyNumberFormat="1" applyFont="1" applyFill="1" applyBorder="1" applyAlignment="1">
      <alignment horizontal="center" vertical="center"/>
    </xf>
    <xf numFmtId="49" fontId="1" fillId="235" borderId="1" xfId="0" applyNumberFormat="1" applyFont="1" applyFill="1" applyBorder="1" applyAlignment="1">
      <alignment horizontal="center" vertical="center"/>
    </xf>
    <xf numFmtId="0" fontId="1" fillId="236" borderId="1" xfId="0" applyFont="1" applyFill="1" applyBorder="1" applyAlignment="1">
      <alignment horizontal="center" vertical="center"/>
    </xf>
    <xf numFmtId="49" fontId="1" fillId="237" borderId="1" xfId="0" applyNumberFormat="1" applyFont="1" applyFill="1" applyBorder="1" applyAlignment="1">
      <alignment horizontal="center" vertical="center"/>
    </xf>
    <xf numFmtId="49" fontId="1" fillId="238" borderId="1" xfId="0" applyNumberFormat="1" applyFont="1" applyFill="1" applyBorder="1" applyAlignment="1">
      <alignment horizontal="center" vertical="center"/>
    </xf>
    <xf numFmtId="49" fontId="1" fillId="239" borderId="1" xfId="0" applyNumberFormat="1" applyFont="1" applyFill="1" applyBorder="1" applyAlignment="1">
      <alignment horizontal="center" vertical="center"/>
    </xf>
    <xf numFmtId="0" fontId="1" fillId="240" borderId="1" xfId="0" applyFont="1" applyFill="1" applyBorder="1" applyAlignment="1">
      <alignment horizontal="center" vertical="center"/>
    </xf>
    <xf numFmtId="49" fontId="1" fillId="241" borderId="1" xfId="0" applyNumberFormat="1" applyFont="1" applyFill="1" applyBorder="1" applyAlignment="1">
      <alignment horizontal="center" vertical="center"/>
    </xf>
    <xf numFmtId="49" fontId="1" fillId="242" borderId="1" xfId="0" applyNumberFormat="1" applyFont="1" applyFill="1" applyBorder="1" applyAlignment="1">
      <alignment horizontal="center" vertical="center"/>
    </xf>
    <xf numFmtId="0" fontId="1" fillId="243" borderId="1" xfId="0" applyFont="1" applyFill="1" applyBorder="1" applyAlignment="1">
      <alignment horizontal="center" vertical="center"/>
    </xf>
    <xf numFmtId="49" fontId="1" fillId="244" borderId="1" xfId="0" applyNumberFormat="1" applyFont="1" applyFill="1" applyBorder="1" applyAlignment="1">
      <alignment horizontal="center" vertical="center"/>
    </xf>
    <xf numFmtId="49" fontId="1" fillId="245" borderId="1" xfId="0" applyNumberFormat="1" applyFont="1" applyFill="1" applyBorder="1" applyAlignment="1">
      <alignment horizontal="center" vertical="center"/>
    </xf>
    <xf numFmtId="0" fontId="1" fillId="246" borderId="1" xfId="0" applyFont="1" applyFill="1" applyBorder="1" applyAlignment="1">
      <alignment horizontal="center" vertical="center"/>
    </xf>
    <xf numFmtId="0" fontId="1" fillId="247" borderId="1" xfId="0" applyFont="1" applyFill="1" applyBorder="1" applyAlignment="1">
      <alignment horizontal="center" vertical="center"/>
    </xf>
    <xf numFmtId="0" fontId="1" fillId="248" borderId="1" xfId="0" applyFont="1" applyFill="1" applyBorder="1" applyAlignment="1">
      <alignment horizontal="center" vertical="center"/>
    </xf>
    <xf numFmtId="0" fontId="1" fillId="249" borderId="1" xfId="0" applyFont="1" applyFill="1" applyBorder="1" applyAlignment="1">
      <alignment horizontal="center" vertical="center"/>
    </xf>
    <xf numFmtId="0" fontId="1" fillId="250" borderId="1" xfId="0" applyFont="1" applyFill="1" applyBorder="1" applyAlignment="1">
      <alignment horizontal="center" vertical="center"/>
    </xf>
    <xf numFmtId="0" fontId="1" fillId="251" borderId="1" xfId="0" applyFont="1" applyFill="1" applyBorder="1" applyAlignment="1">
      <alignment horizontal="center" vertical="center"/>
    </xf>
    <xf numFmtId="0" fontId="1" fillId="252" borderId="1" xfId="0" applyFont="1" applyFill="1" applyBorder="1" applyAlignment="1">
      <alignment horizontal="center" vertical="center"/>
    </xf>
    <xf numFmtId="0" fontId="1" fillId="253" borderId="1" xfId="0" applyFont="1" applyFill="1" applyBorder="1" applyAlignment="1">
      <alignment horizontal="center" vertical="center"/>
    </xf>
    <xf numFmtId="49" fontId="1" fillId="254" borderId="1" xfId="0" applyNumberFormat="1" applyFont="1" applyFill="1" applyBorder="1" applyAlignment="1">
      <alignment horizontal="center" vertical="center"/>
    </xf>
    <xf numFmtId="49" fontId="1" fillId="255" borderId="1" xfId="0" applyNumberFormat="1" applyFont="1" applyFill="1" applyBorder="1" applyAlignment="1">
      <alignment horizontal="center" vertical="center"/>
    </xf>
    <xf numFmtId="49" fontId="1" fillId="256" borderId="1" xfId="0" applyNumberFormat="1" applyFont="1" applyFill="1" applyBorder="1" applyAlignment="1">
      <alignment horizontal="center" vertical="center"/>
    </xf>
    <xf numFmtId="49" fontId="1" fillId="257" borderId="1" xfId="0" applyNumberFormat="1" applyFont="1" applyFill="1" applyBorder="1" applyAlignment="1">
      <alignment horizontal="center" vertical="center"/>
    </xf>
    <xf numFmtId="49" fontId="1" fillId="258" borderId="1" xfId="0" applyNumberFormat="1" applyFont="1" applyFill="1" applyBorder="1" applyAlignment="1">
      <alignment horizontal="center" vertical="center"/>
    </xf>
    <xf numFmtId="49" fontId="1" fillId="259" borderId="1" xfId="0" applyNumberFormat="1" applyFont="1" applyFill="1" applyBorder="1" applyAlignment="1">
      <alignment horizontal="center" vertical="center"/>
    </xf>
    <xf numFmtId="0" fontId="1" fillId="260" borderId="1" xfId="0" applyFont="1" applyFill="1" applyBorder="1" applyAlignment="1">
      <alignment horizontal="center" vertical="center"/>
    </xf>
    <xf numFmtId="0" fontId="1" fillId="261" borderId="1" xfId="0" applyFont="1" applyFill="1" applyBorder="1" applyAlignment="1">
      <alignment horizontal="center" vertical="center"/>
    </xf>
    <xf numFmtId="49" fontId="1" fillId="262" borderId="1" xfId="0" applyNumberFormat="1" applyFont="1" applyFill="1" applyBorder="1" applyAlignment="1">
      <alignment horizontal="center" vertical="center"/>
    </xf>
    <xf numFmtId="0" fontId="1" fillId="263" borderId="1" xfId="0" applyFont="1" applyFill="1" applyBorder="1" applyAlignment="1">
      <alignment horizontal="center" vertical="center"/>
    </xf>
    <xf numFmtId="0" fontId="1" fillId="264" borderId="1" xfId="0" applyFont="1" applyFill="1" applyBorder="1" applyAlignment="1">
      <alignment horizontal="center" vertical="center"/>
    </xf>
    <xf numFmtId="49" fontId="1" fillId="265" borderId="1" xfId="0" applyNumberFormat="1" applyFont="1" applyFill="1" applyBorder="1" applyAlignment="1">
      <alignment horizontal="center" vertical="center"/>
    </xf>
    <xf numFmtId="49" fontId="1" fillId="266" borderId="1" xfId="0" applyNumberFormat="1" applyFont="1" applyFill="1" applyBorder="1" applyAlignment="1">
      <alignment horizontal="center" vertical="center"/>
    </xf>
    <xf numFmtId="49" fontId="1" fillId="267" borderId="1" xfId="0" applyNumberFormat="1" applyFont="1" applyFill="1" applyBorder="1" applyAlignment="1">
      <alignment horizontal="center" vertical="center"/>
    </xf>
    <xf numFmtId="49" fontId="1" fillId="268" borderId="1" xfId="0" applyNumberFormat="1" applyFont="1" applyFill="1" applyBorder="1" applyAlignment="1">
      <alignment horizontal="center" vertical="center"/>
    </xf>
    <xf numFmtId="49" fontId="1" fillId="269" borderId="1" xfId="0" applyNumberFormat="1" applyFont="1" applyFill="1" applyBorder="1" applyAlignment="1">
      <alignment horizontal="center" vertical="center"/>
    </xf>
    <xf numFmtId="49" fontId="1" fillId="270" borderId="1" xfId="0" applyNumberFormat="1" applyFont="1" applyFill="1" applyBorder="1" applyAlignment="1">
      <alignment horizontal="center" vertical="center"/>
    </xf>
    <xf numFmtId="0" fontId="1" fillId="271" borderId="1" xfId="0" applyFont="1" applyFill="1" applyBorder="1" applyAlignment="1">
      <alignment horizontal="center" vertical="center"/>
    </xf>
    <xf numFmtId="0" fontId="1" fillId="272" borderId="1" xfId="0" applyFont="1" applyFill="1" applyBorder="1" applyAlignment="1">
      <alignment horizontal="center" vertical="center"/>
    </xf>
    <xf numFmtId="0" fontId="1" fillId="273" borderId="1" xfId="0" applyFont="1" applyFill="1" applyBorder="1" applyAlignment="1">
      <alignment horizontal="center" vertical="center"/>
    </xf>
    <xf numFmtId="49" fontId="1" fillId="274" borderId="1" xfId="0" applyNumberFormat="1" applyFont="1" applyFill="1" applyBorder="1" applyAlignment="1">
      <alignment horizontal="center" vertical="center"/>
    </xf>
    <xf numFmtId="0" fontId="1" fillId="275" borderId="1" xfId="0" applyFont="1" applyFill="1" applyBorder="1" applyAlignment="1">
      <alignment horizontal="center" vertical="center"/>
    </xf>
    <xf numFmtId="49" fontId="1" fillId="276" borderId="1" xfId="0" applyNumberFormat="1" applyFont="1" applyFill="1" applyBorder="1" applyAlignment="1">
      <alignment horizontal="center" vertical="center"/>
    </xf>
    <xf numFmtId="0" fontId="1" fillId="277" borderId="1" xfId="0" applyFont="1" applyFill="1" applyBorder="1" applyAlignment="1">
      <alignment horizontal="center" vertical="center"/>
    </xf>
    <xf numFmtId="0" fontId="1" fillId="278" borderId="1" xfId="0" applyFont="1" applyFill="1" applyBorder="1" applyAlignment="1">
      <alignment horizontal="center" vertical="center"/>
    </xf>
    <xf numFmtId="49" fontId="1" fillId="279" borderId="1" xfId="0" applyNumberFormat="1" applyFont="1" applyFill="1" applyBorder="1" applyAlignment="1">
      <alignment horizontal="center" vertical="center"/>
    </xf>
    <xf numFmtId="49" fontId="1" fillId="280" borderId="1" xfId="0" applyNumberFormat="1" applyFont="1" applyFill="1" applyBorder="1" applyAlignment="1">
      <alignment horizontal="center" vertical="center"/>
    </xf>
    <xf numFmtId="49" fontId="1" fillId="281" borderId="1" xfId="0" applyNumberFormat="1" applyFont="1" applyFill="1" applyBorder="1" applyAlignment="1">
      <alignment horizontal="center" vertical="center"/>
    </xf>
    <xf numFmtId="0" fontId="1" fillId="282" borderId="1" xfId="0" applyFont="1" applyFill="1" applyBorder="1" applyAlignment="1">
      <alignment horizontal="center" vertical="center"/>
    </xf>
    <xf numFmtId="49" fontId="1" fillId="283" borderId="1" xfId="0" applyNumberFormat="1" applyFont="1" applyFill="1" applyBorder="1" applyAlignment="1">
      <alignment horizontal="center" vertical="center"/>
    </xf>
    <xf numFmtId="49" fontId="1" fillId="284" borderId="1" xfId="0" applyNumberFormat="1" applyFont="1" applyFill="1" applyBorder="1" applyAlignment="1">
      <alignment horizontal="center" vertical="center"/>
    </xf>
    <xf numFmtId="49" fontId="1" fillId="285" borderId="1" xfId="0" applyNumberFormat="1" applyFont="1" applyFill="1" applyBorder="1" applyAlignment="1">
      <alignment horizontal="center" vertical="center"/>
    </xf>
    <xf numFmtId="49" fontId="1" fillId="286" borderId="1" xfId="0" applyNumberFormat="1" applyFont="1" applyFill="1" applyBorder="1" applyAlignment="1">
      <alignment horizontal="center" vertical="center"/>
    </xf>
    <xf numFmtId="49" fontId="1" fillId="287" borderId="1" xfId="0" applyNumberFormat="1" applyFont="1" applyFill="1" applyBorder="1" applyAlignment="1">
      <alignment horizontal="center" vertical="center"/>
    </xf>
    <xf numFmtId="49" fontId="1" fillId="288" borderId="1" xfId="0" applyNumberFormat="1" applyFont="1" applyFill="1" applyBorder="1" applyAlignment="1">
      <alignment horizontal="center" vertical="center"/>
    </xf>
    <xf numFmtId="49" fontId="1" fillId="289" borderId="1" xfId="0" applyNumberFormat="1" applyFont="1" applyFill="1" applyBorder="1" applyAlignment="1">
      <alignment horizontal="center" vertical="center"/>
    </xf>
    <xf numFmtId="49" fontId="1" fillId="290" borderId="1" xfId="0" applyNumberFormat="1" applyFont="1" applyFill="1" applyBorder="1" applyAlignment="1">
      <alignment horizontal="center" vertical="center"/>
    </xf>
    <xf numFmtId="0" fontId="1" fillId="291" borderId="1" xfId="0" applyFont="1" applyFill="1" applyBorder="1" applyAlignment="1">
      <alignment horizontal="center" vertical="center"/>
    </xf>
    <xf numFmtId="49" fontId="1" fillId="292" borderId="1" xfId="0" applyNumberFormat="1" applyFont="1" applyFill="1" applyBorder="1" applyAlignment="1">
      <alignment horizontal="center" vertical="center"/>
    </xf>
    <xf numFmtId="49" fontId="1" fillId="293" borderId="1" xfId="0" applyNumberFormat="1" applyFont="1" applyFill="1" applyBorder="1" applyAlignment="1">
      <alignment horizontal="center" vertical="center"/>
    </xf>
    <xf numFmtId="49" fontId="1" fillId="294" borderId="1" xfId="0" applyNumberFormat="1" applyFont="1" applyFill="1" applyBorder="1" applyAlignment="1">
      <alignment horizontal="center" vertical="center"/>
    </xf>
    <xf numFmtId="49" fontId="1" fillId="295" borderId="1" xfId="0" applyNumberFormat="1" applyFont="1" applyFill="1" applyBorder="1" applyAlignment="1">
      <alignment horizontal="center" vertical="center"/>
    </xf>
    <xf numFmtId="49" fontId="1" fillId="296" borderId="1" xfId="0" applyNumberFormat="1" applyFont="1" applyFill="1" applyBorder="1" applyAlignment="1">
      <alignment horizontal="center" vertical="center"/>
    </xf>
    <xf numFmtId="0" fontId="1" fillId="297" borderId="1" xfId="0" applyFont="1" applyFill="1" applyBorder="1" applyAlignment="1">
      <alignment horizontal="center" vertical="center"/>
    </xf>
    <xf numFmtId="49" fontId="1" fillId="298" borderId="1" xfId="0" applyNumberFormat="1" applyFont="1" applyFill="1" applyBorder="1" applyAlignment="1">
      <alignment horizontal="center" vertical="center"/>
    </xf>
    <xf numFmtId="49" fontId="1" fillId="299" borderId="1" xfId="0" applyNumberFormat="1" applyFont="1" applyFill="1" applyBorder="1" applyAlignment="1">
      <alignment horizontal="center" vertical="center"/>
    </xf>
    <xf numFmtId="49" fontId="1" fillId="300" borderId="1" xfId="0" applyNumberFormat="1" applyFont="1" applyFill="1" applyBorder="1" applyAlignment="1">
      <alignment horizontal="center" vertical="center"/>
    </xf>
    <xf numFmtId="49" fontId="1" fillId="301" borderId="1" xfId="0" applyNumberFormat="1" applyFont="1" applyFill="1" applyBorder="1" applyAlignment="1">
      <alignment horizontal="center" vertical="center"/>
    </xf>
    <xf numFmtId="49" fontId="1" fillId="302" borderId="1" xfId="0" applyNumberFormat="1" applyFont="1" applyFill="1" applyBorder="1" applyAlignment="1">
      <alignment horizontal="center" vertical="center"/>
    </xf>
    <xf numFmtId="0" fontId="1" fillId="303" borderId="1" xfId="0" applyFont="1" applyFill="1" applyBorder="1" applyAlignment="1">
      <alignment horizontal="center" vertical="center"/>
    </xf>
    <xf numFmtId="49" fontId="1" fillId="304" borderId="1" xfId="0" applyNumberFormat="1" applyFont="1" applyFill="1" applyBorder="1" applyAlignment="1">
      <alignment horizontal="center" vertical="center"/>
    </xf>
    <xf numFmtId="49" fontId="1" fillId="305" borderId="1" xfId="0" applyNumberFormat="1" applyFont="1" applyFill="1" applyBorder="1" applyAlignment="1">
      <alignment horizontal="center" vertical="center"/>
    </xf>
    <xf numFmtId="49" fontId="1" fillId="306" borderId="1" xfId="0" applyNumberFormat="1" applyFont="1" applyFill="1" applyBorder="1" applyAlignment="1">
      <alignment horizontal="center" vertical="center"/>
    </xf>
    <xf numFmtId="0" fontId="1" fillId="307" borderId="1" xfId="0" applyFont="1" applyFill="1" applyBorder="1" applyAlignment="1">
      <alignment horizontal="center" vertical="center"/>
    </xf>
    <xf numFmtId="0" fontId="1" fillId="308" borderId="1" xfId="0" applyFont="1" applyFill="1" applyBorder="1" applyAlignment="1">
      <alignment horizontal="center" vertical="center"/>
    </xf>
    <xf numFmtId="49" fontId="1" fillId="309" borderId="1" xfId="0" applyNumberFormat="1" applyFont="1" applyFill="1" applyBorder="1" applyAlignment="1">
      <alignment horizontal="center" vertical="center"/>
    </xf>
    <xf numFmtId="49" fontId="1" fillId="310" borderId="1" xfId="0" applyNumberFormat="1" applyFont="1" applyFill="1" applyBorder="1" applyAlignment="1">
      <alignment horizontal="center" vertical="center"/>
    </xf>
    <xf numFmtId="49" fontId="1" fillId="311" borderId="1" xfId="0" applyNumberFormat="1" applyFont="1" applyFill="1" applyBorder="1" applyAlignment="1">
      <alignment horizontal="center" vertical="center"/>
    </xf>
    <xf numFmtId="49" fontId="1" fillId="312" borderId="1" xfId="0" applyNumberFormat="1" applyFont="1" applyFill="1" applyBorder="1" applyAlignment="1">
      <alignment horizontal="center" vertical="center"/>
    </xf>
    <xf numFmtId="49" fontId="1" fillId="313" borderId="1" xfId="0" applyNumberFormat="1" applyFont="1" applyFill="1" applyBorder="1" applyAlignment="1">
      <alignment horizontal="center" vertical="center"/>
    </xf>
    <xf numFmtId="49" fontId="1" fillId="314" borderId="1" xfId="0" applyNumberFormat="1" applyFont="1" applyFill="1" applyBorder="1" applyAlignment="1">
      <alignment horizontal="center" vertical="center"/>
    </xf>
    <xf numFmtId="49" fontId="1" fillId="315" borderId="1" xfId="0" applyNumberFormat="1" applyFont="1" applyFill="1" applyBorder="1" applyAlignment="1">
      <alignment horizontal="center" vertical="center"/>
    </xf>
    <xf numFmtId="0" fontId="1" fillId="316" borderId="1" xfId="0" applyFont="1" applyFill="1" applyBorder="1" applyAlignment="1">
      <alignment horizontal="center" vertical="center"/>
    </xf>
    <xf numFmtId="49" fontId="1" fillId="317" borderId="1" xfId="0" applyNumberFormat="1" applyFont="1" applyFill="1" applyBorder="1" applyAlignment="1">
      <alignment horizontal="center" vertical="center"/>
    </xf>
    <xf numFmtId="49" fontId="1" fillId="318" borderId="1" xfId="0" applyNumberFormat="1" applyFont="1" applyFill="1" applyBorder="1" applyAlignment="1">
      <alignment horizontal="center" vertical="center"/>
    </xf>
    <xf numFmtId="49" fontId="1" fillId="319" borderId="1" xfId="0" applyNumberFormat="1" applyFont="1" applyFill="1" applyBorder="1" applyAlignment="1">
      <alignment horizontal="center" vertical="center"/>
    </xf>
    <xf numFmtId="49" fontId="1" fillId="320" borderId="1" xfId="0" applyNumberFormat="1" applyFont="1" applyFill="1" applyBorder="1" applyAlignment="1">
      <alignment horizontal="center" vertical="center"/>
    </xf>
    <xf numFmtId="49" fontId="1" fillId="321" borderId="1" xfId="0" applyNumberFormat="1" applyFont="1" applyFill="1" applyBorder="1" applyAlignment="1">
      <alignment horizontal="center" vertical="center"/>
    </xf>
    <xf numFmtId="0" fontId="1" fillId="322" borderId="1" xfId="0" applyFont="1" applyFill="1" applyBorder="1" applyAlignment="1">
      <alignment horizontal="center" vertical="center"/>
    </xf>
    <xf numFmtId="49" fontId="1" fillId="323" borderId="1" xfId="0" applyNumberFormat="1" applyFont="1" applyFill="1" applyBorder="1" applyAlignment="1">
      <alignment horizontal="center" vertical="center"/>
    </xf>
    <xf numFmtId="49" fontId="1" fillId="324" borderId="1" xfId="0" applyNumberFormat="1" applyFont="1" applyFill="1" applyBorder="1" applyAlignment="1">
      <alignment horizontal="center" vertical="center"/>
    </xf>
    <xf numFmtId="0" fontId="1" fillId="325" borderId="1" xfId="0" applyFont="1" applyFill="1" applyBorder="1" applyAlignment="1">
      <alignment horizontal="center" vertical="center"/>
    </xf>
    <xf numFmtId="0" fontId="1" fillId="326" borderId="1" xfId="0" applyFont="1" applyFill="1" applyBorder="1" applyAlignment="1">
      <alignment horizontal="center" vertical="center"/>
    </xf>
    <xf numFmtId="49" fontId="1" fillId="327" borderId="1" xfId="0" applyNumberFormat="1" applyFont="1" applyFill="1" applyBorder="1" applyAlignment="1">
      <alignment horizontal="center" vertical="center"/>
    </xf>
    <xf numFmtId="0" fontId="1" fillId="328" borderId="1" xfId="0" applyFont="1" applyFill="1" applyBorder="1" applyAlignment="1">
      <alignment horizontal="center" vertical="center"/>
    </xf>
    <xf numFmtId="49" fontId="1" fillId="329" borderId="1" xfId="0" applyNumberFormat="1" applyFont="1" applyFill="1" applyBorder="1" applyAlignment="1">
      <alignment horizontal="center" vertical="center"/>
    </xf>
    <xf numFmtId="0" fontId="1" fillId="330" borderId="1" xfId="0" applyFont="1" applyFill="1" applyBorder="1" applyAlignment="1">
      <alignment horizontal="center" vertical="center"/>
    </xf>
    <xf numFmtId="0" fontId="1" fillId="331" borderId="1" xfId="0" applyFont="1" applyFill="1" applyBorder="1" applyAlignment="1">
      <alignment horizontal="center" vertical="center"/>
    </xf>
    <xf numFmtId="49" fontId="1" fillId="332" borderId="1" xfId="0" applyNumberFormat="1" applyFont="1" applyFill="1" applyBorder="1" applyAlignment="1">
      <alignment horizontal="center" vertical="center"/>
    </xf>
    <xf numFmtId="0" fontId="1" fillId="333" borderId="1" xfId="0" applyFont="1" applyFill="1" applyBorder="1" applyAlignment="1">
      <alignment horizontal="center" vertical="center"/>
    </xf>
    <xf numFmtId="0" fontId="1" fillId="334" borderId="1" xfId="0" applyFont="1" applyFill="1" applyBorder="1" applyAlignment="1">
      <alignment horizontal="center" vertical="center"/>
    </xf>
    <xf numFmtId="0" fontId="1" fillId="335" borderId="1" xfId="0" applyFont="1" applyFill="1" applyBorder="1" applyAlignment="1">
      <alignment horizontal="center" vertical="center"/>
    </xf>
    <xf numFmtId="49" fontId="1" fillId="336" borderId="1" xfId="0" applyNumberFormat="1" applyFont="1" applyFill="1" applyBorder="1" applyAlignment="1">
      <alignment horizontal="center" vertical="center"/>
    </xf>
    <xf numFmtId="49" fontId="1" fillId="337" borderId="1" xfId="0" applyNumberFormat="1" applyFont="1" applyFill="1" applyBorder="1" applyAlignment="1">
      <alignment horizontal="center" vertical="center"/>
    </xf>
    <xf numFmtId="49" fontId="1" fillId="338" borderId="1" xfId="0" applyNumberFormat="1" applyFont="1" applyFill="1" applyBorder="1" applyAlignment="1">
      <alignment horizontal="center" vertical="center"/>
    </xf>
    <xf numFmtId="49" fontId="1" fillId="339" borderId="1" xfId="0" applyNumberFormat="1" applyFont="1" applyFill="1" applyBorder="1" applyAlignment="1">
      <alignment horizontal="center" vertical="center"/>
    </xf>
    <xf numFmtId="0" fontId="1" fillId="340" borderId="1"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left" vertical="center" wrapText="1"/>
    </xf>
    <xf numFmtId="49" fontId="1" fillId="341" borderId="1" xfId="0" applyNumberFormat="1" applyFont="1" applyFill="1" applyBorder="1" applyAlignment="1">
      <alignment horizontal="center" vertical="center"/>
    </xf>
    <xf numFmtId="49" fontId="1" fillId="342" borderId="1" xfId="0" applyNumberFormat="1" applyFont="1" applyFill="1" applyBorder="1" applyAlignment="1">
      <alignment horizontal="center" vertical="center"/>
    </xf>
    <xf numFmtId="49" fontId="1" fillId="343" borderId="1" xfId="0" applyNumberFormat="1" applyFont="1" applyFill="1" applyBorder="1" applyAlignment="1">
      <alignment horizontal="center" vertical="center"/>
    </xf>
    <xf numFmtId="49" fontId="1" fillId="344" borderId="1" xfId="0" applyNumberFormat="1" applyFont="1" applyFill="1" applyBorder="1" applyAlignment="1">
      <alignment horizontal="center" vertical="center"/>
    </xf>
    <xf numFmtId="0" fontId="1" fillId="345" borderId="1" xfId="0" applyFont="1" applyFill="1" applyBorder="1" applyAlignment="1">
      <alignment horizontal="center" vertical="center"/>
    </xf>
    <xf numFmtId="49" fontId="1" fillId="346" borderId="1" xfId="0" applyNumberFormat="1" applyFont="1" applyFill="1" applyBorder="1" applyAlignment="1">
      <alignment horizontal="center" vertical="center"/>
    </xf>
    <xf numFmtId="49" fontId="1" fillId="347" borderId="1" xfId="0" applyNumberFormat="1" applyFont="1" applyFill="1" applyBorder="1" applyAlignment="1">
      <alignment horizontal="center" vertical="center"/>
    </xf>
    <xf numFmtId="49" fontId="1" fillId="348" borderId="1" xfId="0" applyNumberFormat="1" applyFont="1" applyFill="1" applyBorder="1" applyAlignment="1">
      <alignment horizontal="center" vertical="center"/>
    </xf>
    <xf numFmtId="49" fontId="1" fillId="349" borderId="1" xfId="0" applyNumberFormat="1" applyFont="1" applyFill="1" applyBorder="1" applyAlignment="1">
      <alignment horizontal="center" vertical="center"/>
    </xf>
    <xf numFmtId="49" fontId="1" fillId="350" borderId="1" xfId="0" applyNumberFormat="1" applyFont="1" applyFill="1" applyBorder="1" applyAlignment="1">
      <alignment horizontal="center" vertical="center"/>
    </xf>
    <xf numFmtId="0" fontId="1" fillId="351" borderId="1" xfId="0" applyFont="1" applyFill="1" applyBorder="1" applyAlignment="1">
      <alignment horizontal="center" vertical="center"/>
    </xf>
    <xf numFmtId="0" fontId="1" fillId="352" borderId="1" xfId="0" applyFont="1" applyFill="1" applyBorder="1" applyAlignment="1">
      <alignment horizontal="center" vertical="center"/>
    </xf>
    <xf numFmtId="0" fontId="1" fillId="353" borderId="1" xfId="0" applyFont="1" applyFill="1" applyBorder="1" applyAlignment="1">
      <alignment horizontal="center" vertical="center"/>
    </xf>
    <xf numFmtId="0" fontId="1" fillId="354" borderId="1" xfId="0" applyFont="1" applyFill="1" applyBorder="1" applyAlignment="1">
      <alignment horizontal="center" vertical="center"/>
    </xf>
    <xf numFmtId="49" fontId="1" fillId="355" borderId="1" xfId="0" applyNumberFormat="1" applyFont="1" applyFill="1" applyBorder="1" applyAlignment="1">
      <alignment horizontal="center" vertical="center"/>
    </xf>
    <xf numFmtId="49" fontId="1" fillId="356" borderId="1" xfId="0" applyNumberFormat="1" applyFont="1" applyFill="1" applyBorder="1" applyAlignment="1">
      <alignment horizontal="center" vertical="center"/>
    </xf>
    <xf numFmtId="49" fontId="1" fillId="357" borderId="1" xfId="0" applyNumberFormat="1" applyFont="1" applyFill="1" applyBorder="1" applyAlignment="1">
      <alignment horizontal="center" vertical="center"/>
    </xf>
    <xf numFmtId="0" fontId="1" fillId="358" borderId="1" xfId="0" applyFont="1" applyFill="1" applyBorder="1" applyAlignment="1">
      <alignment horizontal="center" vertical="center"/>
    </xf>
    <xf numFmtId="0" fontId="1" fillId="359" borderId="1" xfId="0" applyFont="1" applyFill="1" applyBorder="1" applyAlignment="1">
      <alignment horizontal="center" vertical="center"/>
    </xf>
    <xf numFmtId="0" fontId="1" fillId="360" borderId="1" xfId="0" applyFont="1" applyFill="1" applyBorder="1" applyAlignment="1">
      <alignment horizontal="center" vertical="center"/>
    </xf>
    <xf numFmtId="49" fontId="1" fillId="361" borderId="1" xfId="0" applyNumberFormat="1" applyFont="1" applyFill="1" applyBorder="1" applyAlignment="1">
      <alignment horizontal="center" vertical="center"/>
    </xf>
    <xf numFmtId="0" fontId="1" fillId="362" borderId="1" xfId="0" applyFont="1" applyFill="1" applyBorder="1" applyAlignment="1">
      <alignment horizontal="center" vertical="center"/>
    </xf>
    <xf numFmtId="49" fontId="1" fillId="363" borderId="1" xfId="0" applyNumberFormat="1" applyFont="1" applyFill="1" applyBorder="1" applyAlignment="1">
      <alignment horizontal="center" vertical="center"/>
    </xf>
    <xf numFmtId="49" fontId="1" fillId="364" borderId="1" xfId="0" applyNumberFormat="1" applyFont="1" applyFill="1" applyBorder="1" applyAlignment="1">
      <alignment horizontal="center" vertical="center"/>
    </xf>
    <xf numFmtId="0" fontId="1" fillId="365" borderId="1" xfId="0" applyFont="1" applyFill="1" applyBorder="1" applyAlignment="1">
      <alignment horizontal="center" vertical="center"/>
    </xf>
    <xf numFmtId="49" fontId="1" fillId="366" borderId="1" xfId="0" applyNumberFormat="1" applyFont="1" applyFill="1" applyBorder="1" applyAlignment="1">
      <alignment horizontal="center" vertical="center"/>
    </xf>
    <xf numFmtId="0" fontId="1" fillId="367" borderId="1" xfId="0" applyFont="1" applyFill="1" applyBorder="1" applyAlignment="1">
      <alignment horizontal="center" vertical="center"/>
    </xf>
    <xf numFmtId="49" fontId="1" fillId="368" borderId="1" xfId="0" applyNumberFormat="1" applyFont="1" applyFill="1" applyBorder="1" applyAlignment="1">
      <alignment horizontal="center" vertical="center"/>
    </xf>
    <xf numFmtId="49" fontId="1" fillId="369" borderId="1" xfId="0" applyNumberFormat="1" applyFont="1" applyFill="1" applyBorder="1" applyAlignment="1">
      <alignment horizontal="center" vertical="center"/>
    </xf>
    <xf numFmtId="0" fontId="1" fillId="370" borderId="1" xfId="0" applyFont="1" applyFill="1" applyBorder="1" applyAlignment="1">
      <alignment horizontal="center" vertical="center"/>
    </xf>
    <xf numFmtId="0" fontId="1" fillId="371" borderId="1" xfId="0" applyFont="1" applyFill="1" applyBorder="1" applyAlignment="1">
      <alignment horizontal="center" vertical="center"/>
    </xf>
    <xf numFmtId="49" fontId="1" fillId="372" borderId="1" xfId="0" applyNumberFormat="1" applyFont="1" applyFill="1" applyBorder="1" applyAlignment="1">
      <alignment horizontal="center" vertical="center"/>
    </xf>
    <xf numFmtId="0" fontId="1" fillId="373" borderId="1" xfId="0" applyFont="1" applyFill="1" applyBorder="1" applyAlignment="1">
      <alignment horizontal="center" vertical="center"/>
    </xf>
    <xf numFmtId="49" fontId="1" fillId="374" borderId="1" xfId="0" applyNumberFormat="1" applyFont="1" applyFill="1" applyBorder="1" applyAlignment="1">
      <alignment horizontal="center" vertical="center"/>
    </xf>
    <xf numFmtId="49" fontId="1" fillId="375" borderId="1" xfId="0" applyNumberFormat="1" applyFont="1" applyFill="1" applyBorder="1" applyAlignment="1">
      <alignment horizontal="center" vertical="center"/>
    </xf>
    <xf numFmtId="49" fontId="1" fillId="376" borderId="1" xfId="0" applyNumberFormat="1" applyFont="1" applyFill="1" applyBorder="1" applyAlignment="1">
      <alignment horizontal="center" vertical="center"/>
    </xf>
    <xf numFmtId="0" fontId="1" fillId="377" borderId="1" xfId="0" applyFont="1" applyFill="1" applyBorder="1" applyAlignment="1">
      <alignment horizontal="center" vertical="center"/>
    </xf>
    <xf numFmtId="0" fontId="1" fillId="378" borderId="1" xfId="0" applyFont="1" applyFill="1" applyBorder="1" applyAlignment="1">
      <alignment horizontal="center" vertical="center"/>
    </xf>
    <xf numFmtId="0" fontId="1" fillId="379" borderId="1" xfId="0" applyFont="1" applyFill="1" applyBorder="1" applyAlignment="1">
      <alignment horizontal="center" vertical="center"/>
    </xf>
    <xf numFmtId="0" fontId="1" fillId="380" borderId="1" xfId="0" applyFont="1" applyFill="1" applyBorder="1" applyAlignment="1">
      <alignment horizontal="center" vertical="center"/>
    </xf>
    <xf numFmtId="49" fontId="1" fillId="381" borderId="1" xfId="0" applyNumberFormat="1" applyFont="1" applyFill="1" applyBorder="1" applyAlignment="1">
      <alignment horizontal="center" vertical="center"/>
    </xf>
    <xf numFmtId="0" fontId="1" fillId="382" borderId="1" xfId="0" applyFont="1" applyFill="1" applyBorder="1" applyAlignment="1">
      <alignment horizontal="center" vertical="center"/>
    </xf>
    <xf numFmtId="49" fontId="1" fillId="383" borderId="1" xfId="0" applyNumberFormat="1" applyFont="1" applyFill="1" applyBorder="1" applyAlignment="1">
      <alignment horizontal="center" vertical="center"/>
    </xf>
    <xf numFmtId="49" fontId="1" fillId="384" borderId="1" xfId="0" applyNumberFormat="1" applyFont="1" applyFill="1" applyBorder="1" applyAlignment="1">
      <alignment horizontal="center" vertical="center"/>
    </xf>
    <xf numFmtId="0" fontId="1" fillId="385" borderId="1" xfId="0" applyFont="1" applyFill="1" applyBorder="1" applyAlignment="1">
      <alignment horizontal="center" vertical="center"/>
    </xf>
    <xf numFmtId="49" fontId="1" fillId="386" borderId="1" xfId="0" applyNumberFormat="1" applyFont="1" applyFill="1" applyBorder="1" applyAlignment="1">
      <alignment horizontal="center" vertical="center"/>
    </xf>
    <xf numFmtId="0" fontId="1" fillId="387" borderId="1" xfId="0" applyFont="1" applyFill="1" applyBorder="1" applyAlignment="1">
      <alignment horizontal="center" vertical="center"/>
    </xf>
    <xf numFmtId="0" fontId="1" fillId="388" borderId="1" xfId="0" applyFont="1" applyFill="1" applyBorder="1" applyAlignment="1">
      <alignment horizontal="center" vertical="center"/>
    </xf>
    <xf numFmtId="49" fontId="1" fillId="389" borderId="1" xfId="0" applyNumberFormat="1" applyFont="1" applyFill="1" applyBorder="1" applyAlignment="1">
      <alignment horizontal="center" vertical="center"/>
    </xf>
    <xf numFmtId="49" fontId="1" fillId="390" borderId="1" xfId="0" applyNumberFormat="1" applyFont="1" applyFill="1" applyBorder="1" applyAlignment="1">
      <alignment horizontal="center" vertical="center"/>
    </xf>
    <xf numFmtId="0" fontId="1" fillId="391" borderId="1" xfId="0" applyFont="1" applyFill="1" applyBorder="1" applyAlignment="1">
      <alignment horizontal="center" vertical="center"/>
    </xf>
    <xf numFmtId="0" fontId="1" fillId="392" borderId="1" xfId="0" applyFont="1" applyFill="1" applyBorder="1" applyAlignment="1">
      <alignment horizontal="center" vertical="center"/>
    </xf>
    <xf numFmtId="0" fontId="1" fillId="393" borderId="1" xfId="0" applyFont="1" applyFill="1" applyBorder="1" applyAlignment="1">
      <alignment horizontal="center" vertical="center"/>
    </xf>
    <xf numFmtId="49" fontId="1" fillId="394" borderId="1" xfId="0" applyNumberFormat="1" applyFont="1" applyFill="1" applyBorder="1" applyAlignment="1">
      <alignment horizontal="center" vertical="center"/>
    </xf>
    <xf numFmtId="49" fontId="1" fillId="395" borderId="1" xfId="0" applyNumberFormat="1" applyFont="1" applyFill="1" applyBorder="1" applyAlignment="1">
      <alignment horizontal="center" vertical="center"/>
    </xf>
    <xf numFmtId="0" fontId="1" fillId="396" borderId="1" xfId="0" applyFont="1" applyFill="1" applyBorder="1" applyAlignment="1">
      <alignment horizontal="center" vertical="center"/>
    </xf>
    <xf numFmtId="49" fontId="1" fillId="397" borderId="1" xfId="0" applyNumberFormat="1" applyFont="1" applyFill="1" applyBorder="1" applyAlignment="1">
      <alignment horizontal="center" vertical="center"/>
    </xf>
    <xf numFmtId="0" fontId="1" fillId="398" borderId="1" xfId="0" applyFont="1" applyFill="1" applyBorder="1" applyAlignment="1">
      <alignment horizontal="center" vertical="center"/>
    </xf>
    <xf numFmtId="49" fontId="1" fillId="399" borderId="1" xfId="0" applyNumberFormat="1" applyFont="1" applyFill="1" applyBorder="1" applyAlignment="1">
      <alignment horizontal="center" vertical="center"/>
    </xf>
    <xf numFmtId="0" fontId="1" fillId="400" borderId="1" xfId="0" applyFont="1" applyFill="1" applyBorder="1" applyAlignment="1">
      <alignment horizontal="center" vertical="center"/>
    </xf>
    <xf numFmtId="49" fontId="1" fillId="401" borderId="1" xfId="0" applyNumberFormat="1" applyFont="1" applyFill="1" applyBorder="1" applyAlignment="1">
      <alignment horizontal="center" vertical="center"/>
    </xf>
    <xf numFmtId="49" fontId="1" fillId="402" borderId="1" xfId="0" applyNumberFormat="1" applyFont="1" applyFill="1" applyBorder="1" applyAlignment="1">
      <alignment horizontal="center" vertical="center"/>
    </xf>
    <xf numFmtId="0" fontId="1" fillId="403" borderId="1" xfId="0" applyFont="1" applyFill="1" applyBorder="1" applyAlignment="1">
      <alignment horizontal="center" vertical="center"/>
    </xf>
    <xf numFmtId="49" fontId="1" fillId="404" borderId="1" xfId="0" applyNumberFormat="1" applyFont="1" applyFill="1" applyBorder="1" applyAlignment="1">
      <alignment horizontal="center" vertical="center"/>
    </xf>
    <xf numFmtId="0" fontId="1" fillId="405" borderId="1" xfId="0" applyFont="1" applyFill="1" applyBorder="1" applyAlignment="1">
      <alignment horizontal="center" vertical="center"/>
    </xf>
    <xf numFmtId="49" fontId="1" fillId="406" borderId="1" xfId="0" applyNumberFormat="1" applyFont="1" applyFill="1" applyBorder="1" applyAlignment="1">
      <alignment horizontal="center" vertical="center"/>
    </xf>
    <xf numFmtId="49" fontId="1" fillId="407" borderId="1" xfId="0" applyNumberFormat="1" applyFont="1" applyFill="1" applyBorder="1" applyAlignment="1">
      <alignment horizontal="center" vertical="center"/>
    </xf>
    <xf numFmtId="49" fontId="1" fillId="408" borderId="1" xfId="0" applyNumberFormat="1" applyFont="1" applyFill="1" applyBorder="1" applyAlignment="1">
      <alignment horizontal="center" vertical="center"/>
    </xf>
    <xf numFmtId="49" fontId="1" fillId="409" borderId="1" xfId="0" applyNumberFormat="1" applyFont="1" applyFill="1" applyBorder="1" applyAlignment="1">
      <alignment horizontal="center" vertical="center"/>
    </xf>
    <xf numFmtId="0" fontId="1" fillId="410" borderId="1" xfId="0" applyFont="1" applyFill="1" applyBorder="1" applyAlignment="1">
      <alignment horizontal="center" vertical="center"/>
    </xf>
    <xf numFmtId="49" fontId="1" fillId="411" borderId="1" xfId="0" applyNumberFormat="1" applyFont="1" applyFill="1" applyBorder="1" applyAlignment="1">
      <alignment horizontal="center" vertical="center"/>
    </xf>
    <xf numFmtId="49" fontId="1" fillId="412" borderId="1" xfId="0" applyNumberFormat="1" applyFont="1" applyFill="1" applyBorder="1" applyAlignment="1">
      <alignment horizontal="center" vertical="center"/>
    </xf>
    <xf numFmtId="49" fontId="1" fillId="413" borderId="1" xfId="0" applyNumberFormat="1" applyFont="1" applyFill="1" applyBorder="1" applyAlignment="1">
      <alignment horizontal="center" vertical="center"/>
    </xf>
    <xf numFmtId="49" fontId="1" fillId="414" borderId="1" xfId="0" applyNumberFormat="1" applyFont="1" applyFill="1" applyBorder="1" applyAlignment="1">
      <alignment horizontal="center" vertical="center"/>
    </xf>
    <xf numFmtId="49" fontId="1" fillId="415" borderId="1" xfId="0" applyNumberFormat="1" applyFont="1" applyFill="1" applyBorder="1" applyAlignment="1">
      <alignment horizontal="center" vertical="center"/>
    </xf>
    <xf numFmtId="49" fontId="1" fillId="416" borderId="1" xfId="0" applyNumberFormat="1" applyFont="1" applyFill="1" applyBorder="1" applyAlignment="1">
      <alignment horizontal="center" vertical="center"/>
    </xf>
    <xf numFmtId="49" fontId="1" fillId="417" borderId="1" xfId="0" applyNumberFormat="1" applyFont="1" applyFill="1" applyBorder="1" applyAlignment="1">
      <alignment horizontal="center" vertical="center"/>
    </xf>
    <xf numFmtId="49" fontId="1" fillId="418" borderId="1" xfId="0" applyNumberFormat="1" applyFont="1" applyFill="1" applyBorder="1" applyAlignment="1">
      <alignment horizontal="center" vertical="center"/>
    </xf>
    <xf numFmtId="49" fontId="1" fillId="419" borderId="1" xfId="0" applyNumberFormat="1" applyFont="1" applyFill="1" applyBorder="1" applyAlignment="1">
      <alignment horizontal="center" vertical="center"/>
    </xf>
    <xf numFmtId="49" fontId="1" fillId="420" borderId="1" xfId="0" applyNumberFormat="1" applyFont="1" applyFill="1" applyBorder="1" applyAlignment="1">
      <alignment horizontal="center" vertical="center"/>
    </xf>
    <xf numFmtId="49" fontId="1" fillId="421" borderId="1" xfId="0" applyNumberFormat="1" applyFont="1" applyFill="1" applyBorder="1" applyAlignment="1">
      <alignment horizontal="center" vertical="center"/>
    </xf>
    <xf numFmtId="49" fontId="1" fillId="422" borderId="1" xfId="0" applyNumberFormat="1" applyFont="1" applyFill="1" applyBorder="1" applyAlignment="1">
      <alignment horizontal="center" vertical="center"/>
    </xf>
    <xf numFmtId="49" fontId="1" fillId="423" borderId="1" xfId="0" applyNumberFormat="1" applyFont="1" applyFill="1" applyBorder="1" applyAlignment="1">
      <alignment horizontal="center" vertical="center"/>
    </xf>
    <xf numFmtId="0" fontId="1" fillId="424" borderId="1" xfId="0" applyFont="1" applyFill="1" applyBorder="1" applyAlignment="1">
      <alignment horizontal="center" vertical="center"/>
    </xf>
    <xf numFmtId="49" fontId="1" fillId="425" borderId="1" xfId="0" applyNumberFormat="1" applyFont="1" applyFill="1" applyBorder="1" applyAlignment="1">
      <alignment horizontal="center" vertical="center"/>
    </xf>
    <xf numFmtId="49" fontId="1" fillId="426" borderId="1" xfId="0" applyNumberFormat="1" applyFont="1" applyFill="1" applyBorder="1" applyAlignment="1">
      <alignment horizontal="center" vertical="center"/>
    </xf>
    <xf numFmtId="49" fontId="1" fillId="427" borderId="1" xfId="0" applyNumberFormat="1" applyFont="1" applyFill="1" applyBorder="1" applyAlignment="1">
      <alignment horizontal="center" vertical="center"/>
    </xf>
    <xf numFmtId="49" fontId="1" fillId="428" borderId="1" xfId="0" applyNumberFormat="1" applyFont="1" applyFill="1" applyBorder="1" applyAlignment="1">
      <alignment horizontal="center" vertical="center"/>
    </xf>
    <xf numFmtId="49" fontId="1" fillId="429" borderId="1" xfId="0" applyNumberFormat="1" applyFont="1" applyFill="1" applyBorder="1" applyAlignment="1">
      <alignment horizontal="center" vertical="center"/>
    </xf>
    <xf numFmtId="49" fontId="1" fillId="430" borderId="1" xfId="0" applyNumberFormat="1" applyFont="1" applyFill="1" applyBorder="1" applyAlignment="1">
      <alignment horizontal="center" vertical="center"/>
    </xf>
    <xf numFmtId="49" fontId="1" fillId="431" borderId="1" xfId="0" applyNumberFormat="1" applyFont="1" applyFill="1" applyBorder="1" applyAlignment="1">
      <alignment horizontal="center" vertical="center"/>
    </xf>
    <xf numFmtId="49" fontId="1" fillId="432" borderId="1" xfId="0" applyNumberFormat="1" applyFont="1" applyFill="1" applyBorder="1" applyAlignment="1">
      <alignment horizontal="center" vertical="center"/>
    </xf>
    <xf numFmtId="49" fontId="1" fillId="433" borderId="1" xfId="0" applyNumberFormat="1" applyFont="1" applyFill="1" applyBorder="1" applyAlignment="1">
      <alignment horizontal="center" vertical="center"/>
    </xf>
    <xf numFmtId="49" fontId="1" fillId="434" borderId="1" xfId="0" applyNumberFormat="1" applyFont="1" applyFill="1" applyBorder="1" applyAlignment="1">
      <alignment horizontal="center" vertical="center"/>
    </xf>
    <xf numFmtId="49" fontId="1" fillId="435" borderId="1" xfId="0" applyNumberFormat="1" applyFont="1" applyFill="1" applyBorder="1" applyAlignment="1">
      <alignment horizontal="center" vertical="center"/>
    </xf>
    <xf numFmtId="0" fontId="1" fillId="436" borderId="1" xfId="0" applyFont="1" applyFill="1" applyBorder="1" applyAlignment="1">
      <alignment horizontal="center" vertical="center"/>
    </xf>
    <xf numFmtId="0" fontId="1" fillId="437" borderId="1" xfId="0" applyFont="1" applyFill="1" applyBorder="1" applyAlignment="1">
      <alignment horizontal="center" vertical="center"/>
    </xf>
    <xf numFmtId="0" fontId="1" fillId="438" borderId="1" xfId="0" applyFont="1" applyFill="1" applyBorder="1" applyAlignment="1">
      <alignment horizontal="center" vertical="center"/>
    </xf>
    <xf numFmtId="0" fontId="1" fillId="439" borderId="1" xfId="0" applyFont="1" applyFill="1" applyBorder="1" applyAlignment="1">
      <alignment horizontal="center" vertical="center"/>
    </xf>
    <xf numFmtId="0" fontId="1" fillId="440" borderId="1" xfId="0" applyFont="1" applyFill="1" applyBorder="1" applyAlignment="1">
      <alignment horizontal="center" vertical="center"/>
    </xf>
    <xf numFmtId="0" fontId="1" fillId="441" borderId="1" xfId="0" applyFont="1" applyFill="1" applyBorder="1" applyAlignment="1">
      <alignment horizontal="center" vertical="center"/>
    </xf>
    <xf numFmtId="0" fontId="1" fillId="442" borderId="1" xfId="0" applyFont="1" applyFill="1" applyBorder="1" applyAlignment="1">
      <alignment horizontal="center" vertical="center"/>
    </xf>
    <xf numFmtId="0" fontId="1" fillId="443" borderId="1" xfId="0" applyFont="1" applyFill="1" applyBorder="1" applyAlignment="1">
      <alignment horizontal="center" vertical="center"/>
    </xf>
    <xf numFmtId="0" fontId="1" fillId="444" borderId="1" xfId="0" applyFont="1" applyFill="1" applyBorder="1" applyAlignment="1">
      <alignment horizontal="center" vertical="center"/>
    </xf>
    <xf numFmtId="0" fontId="1" fillId="445" borderId="1" xfId="0" applyFont="1" applyFill="1" applyBorder="1" applyAlignment="1">
      <alignment horizontal="center" vertical="center"/>
    </xf>
    <xf numFmtId="0" fontId="1" fillId="446" borderId="1" xfId="0" applyFont="1" applyFill="1" applyBorder="1" applyAlignment="1">
      <alignment horizontal="center" vertical="center"/>
    </xf>
    <xf numFmtId="0" fontId="1" fillId="447" borderId="1" xfId="0" applyFont="1" applyFill="1" applyBorder="1" applyAlignment="1">
      <alignment horizontal="center" vertical="center"/>
    </xf>
    <xf numFmtId="0" fontId="1" fillId="448" borderId="1" xfId="0" applyFont="1" applyFill="1" applyBorder="1" applyAlignment="1">
      <alignment horizontal="center" vertical="center"/>
    </xf>
    <xf numFmtId="0" fontId="1" fillId="449" borderId="1" xfId="0" applyFont="1" applyFill="1" applyBorder="1" applyAlignment="1">
      <alignment horizontal="center" vertical="center"/>
    </xf>
    <xf numFmtId="49" fontId="1" fillId="450" borderId="1" xfId="0" applyNumberFormat="1" applyFont="1" applyFill="1" applyBorder="1" applyAlignment="1">
      <alignment horizontal="center" vertical="center"/>
    </xf>
    <xf numFmtId="0" fontId="1" fillId="451" borderId="1" xfId="0" applyFont="1" applyFill="1" applyBorder="1" applyAlignment="1">
      <alignment horizontal="center" vertical="center"/>
    </xf>
    <xf numFmtId="0" fontId="1" fillId="452" borderId="1" xfId="0" applyFont="1" applyFill="1" applyBorder="1" applyAlignment="1">
      <alignment horizontal="center" vertical="center"/>
    </xf>
    <xf numFmtId="49" fontId="1" fillId="453" borderId="1" xfId="0" applyNumberFormat="1" applyFont="1" applyFill="1" applyBorder="1" applyAlignment="1">
      <alignment horizontal="center" vertical="center"/>
    </xf>
    <xf numFmtId="0" fontId="1" fillId="454" borderId="1" xfId="0" applyFont="1" applyFill="1" applyBorder="1" applyAlignment="1">
      <alignment horizontal="center" vertical="center"/>
    </xf>
    <xf numFmtId="0" fontId="1" fillId="455" borderId="1" xfId="0" applyFont="1" applyFill="1" applyBorder="1" applyAlignment="1">
      <alignment horizontal="center" vertical="center"/>
    </xf>
    <xf numFmtId="49" fontId="1" fillId="456" borderId="1" xfId="0" applyNumberFormat="1" applyFont="1" applyFill="1" applyBorder="1" applyAlignment="1">
      <alignment horizontal="center" vertical="center"/>
    </xf>
    <xf numFmtId="0" fontId="1" fillId="457" borderId="1" xfId="0" applyFont="1" applyFill="1" applyBorder="1" applyAlignment="1">
      <alignment horizontal="center" vertical="center"/>
    </xf>
    <xf numFmtId="0" fontId="5" fillId="0" borderId="1" xfId="0" applyFont="1" applyBorder="1" applyAlignment="1">
      <alignment horizontal="left" vertical="center" wrapText="1"/>
    </xf>
    <xf numFmtId="0" fontId="1" fillId="458" borderId="1" xfId="0" applyFont="1" applyFill="1" applyBorder="1" applyAlignment="1">
      <alignment horizontal="center" vertical="center"/>
    </xf>
    <xf numFmtId="0" fontId="1" fillId="459" borderId="1" xfId="0" applyFont="1" applyFill="1" applyBorder="1" applyAlignment="1">
      <alignment horizontal="center" vertical="center"/>
    </xf>
    <xf numFmtId="0" fontId="1" fillId="460" borderId="1" xfId="0" applyFont="1" applyFill="1" applyBorder="1" applyAlignment="1">
      <alignment horizontal="center" vertical="center"/>
    </xf>
    <xf numFmtId="49" fontId="1" fillId="461" borderId="1" xfId="0" applyNumberFormat="1" applyFont="1" applyFill="1" applyBorder="1" applyAlignment="1">
      <alignment horizontal="center" vertical="center"/>
    </xf>
    <xf numFmtId="0" fontId="1" fillId="462" borderId="1" xfId="0" applyFont="1" applyFill="1" applyBorder="1" applyAlignment="1">
      <alignment horizontal="center" vertical="center"/>
    </xf>
    <xf numFmtId="49" fontId="1" fillId="463" borderId="1" xfId="0" applyNumberFormat="1" applyFont="1" applyFill="1" applyBorder="1" applyAlignment="1">
      <alignment horizontal="center" vertical="center"/>
    </xf>
    <xf numFmtId="49" fontId="1" fillId="464" borderId="1" xfId="0" applyNumberFormat="1" applyFont="1" applyFill="1" applyBorder="1" applyAlignment="1">
      <alignment horizontal="center" vertical="center"/>
    </xf>
    <xf numFmtId="49" fontId="1" fillId="465" borderId="1" xfId="0" applyNumberFormat="1" applyFont="1" applyFill="1" applyBorder="1" applyAlignment="1">
      <alignment horizontal="center" vertical="center"/>
    </xf>
    <xf numFmtId="0" fontId="1" fillId="466" borderId="1" xfId="0" applyFont="1" applyFill="1" applyBorder="1" applyAlignment="1">
      <alignment horizontal="center" vertical="center"/>
    </xf>
    <xf numFmtId="0" fontId="1" fillId="467" borderId="1" xfId="0" applyFont="1" applyFill="1" applyBorder="1" applyAlignment="1">
      <alignment horizontal="center" vertical="center"/>
    </xf>
    <xf numFmtId="49" fontId="1" fillId="468" borderId="1" xfId="0" applyNumberFormat="1" applyFont="1" applyFill="1" applyBorder="1" applyAlignment="1">
      <alignment horizontal="center" vertical="center"/>
    </xf>
    <xf numFmtId="0" fontId="1" fillId="469" borderId="1" xfId="0" applyFont="1" applyFill="1" applyBorder="1" applyAlignment="1">
      <alignment horizontal="center" vertical="center"/>
    </xf>
    <xf numFmtId="49" fontId="1" fillId="470" borderId="1" xfId="0" applyNumberFormat="1" applyFont="1" applyFill="1" applyBorder="1" applyAlignment="1">
      <alignment horizontal="center" vertical="center"/>
    </xf>
    <xf numFmtId="0" fontId="1" fillId="471" borderId="1" xfId="0" applyFont="1" applyFill="1" applyBorder="1" applyAlignment="1">
      <alignment horizontal="center" vertical="center"/>
    </xf>
    <xf numFmtId="0" fontId="1" fillId="472" borderId="1" xfId="0" applyFont="1" applyFill="1" applyBorder="1" applyAlignment="1">
      <alignment horizontal="center" vertical="center"/>
    </xf>
    <xf numFmtId="49" fontId="1" fillId="473" borderId="1" xfId="0" applyNumberFormat="1" applyFont="1" applyFill="1" applyBorder="1" applyAlignment="1">
      <alignment horizontal="center" vertical="center"/>
    </xf>
    <xf numFmtId="49" fontId="1" fillId="474" borderId="1" xfId="0" applyNumberFormat="1" applyFont="1" applyFill="1" applyBorder="1" applyAlignment="1">
      <alignment horizontal="center" vertical="center"/>
    </xf>
    <xf numFmtId="0" fontId="1" fillId="475" borderId="1" xfId="0" applyFont="1" applyFill="1" applyBorder="1" applyAlignment="1">
      <alignment horizontal="center" vertical="center"/>
    </xf>
    <xf numFmtId="0" fontId="1" fillId="476" borderId="1" xfId="0" applyFont="1" applyFill="1" applyBorder="1" applyAlignment="1">
      <alignment horizontal="center" vertical="center"/>
    </xf>
    <xf numFmtId="0" fontId="1" fillId="477" borderId="1" xfId="0" applyFont="1" applyFill="1" applyBorder="1" applyAlignment="1">
      <alignment horizontal="center" vertical="center"/>
    </xf>
    <xf numFmtId="0" fontId="6" fillId="0" borderId="1" xfId="0" applyFont="1" applyBorder="1" applyAlignment="1">
      <alignment horizontal="center" vertical="center" wrapText="1"/>
    </xf>
    <xf numFmtId="0" fontId="1" fillId="478" borderId="1" xfId="0" applyFont="1" applyFill="1" applyBorder="1" applyAlignment="1">
      <alignment horizontal="center" vertical="center"/>
    </xf>
    <xf numFmtId="0" fontId="1" fillId="479" borderId="1" xfId="0" applyFont="1" applyFill="1" applyBorder="1" applyAlignment="1">
      <alignment horizontal="center" vertical="center"/>
    </xf>
    <xf numFmtId="0" fontId="1" fillId="480" borderId="1" xfId="0" applyFont="1" applyFill="1" applyBorder="1" applyAlignment="1">
      <alignment horizontal="center" vertical="center"/>
    </xf>
    <xf numFmtId="0" fontId="1" fillId="481" borderId="1" xfId="0" applyFont="1" applyFill="1" applyBorder="1" applyAlignment="1">
      <alignment horizontal="center" vertical="center"/>
    </xf>
    <xf numFmtId="0" fontId="1" fillId="482" borderId="1" xfId="0" applyFont="1" applyFill="1" applyBorder="1" applyAlignment="1">
      <alignment horizontal="center" vertical="center"/>
    </xf>
    <xf numFmtId="0" fontId="1" fillId="483" borderId="1" xfId="0" applyFont="1" applyFill="1" applyBorder="1" applyAlignment="1">
      <alignment horizontal="center" vertical="center"/>
    </xf>
    <xf numFmtId="49" fontId="1" fillId="484" borderId="1" xfId="0" applyNumberFormat="1" applyFont="1" applyFill="1" applyBorder="1" applyAlignment="1">
      <alignment horizontal="center" vertical="center"/>
    </xf>
    <xf numFmtId="0" fontId="1" fillId="485" borderId="1" xfId="0" applyFont="1" applyFill="1" applyBorder="1" applyAlignment="1">
      <alignment horizontal="center" vertical="center"/>
    </xf>
    <xf numFmtId="0" fontId="1" fillId="486" borderId="1" xfId="0" applyFont="1" applyFill="1" applyBorder="1" applyAlignment="1">
      <alignment horizontal="center" vertical="center"/>
    </xf>
    <xf numFmtId="49" fontId="1" fillId="487" borderId="1" xfId="0" applyNumberFormat="1" applyFont="1" applyFill="1" applyBorder="1" applyAlignment="1">
      <alignment horizontal="center" vertical="center"/>
    </xf>
    <xf numFmtId="49" fontId="1" fillId="488" borderId="1" xfId="0" applyNumberFormat="1" applyFont="1" applyFill="1" applyBorder="1" applyAlignment="1">
      <alignment horizontal="center" vertical="center"/>
    </xf>
    <xf numFmtId="0" fontId="1" fillId="489" borderId="1" xfId="0" applyFont="1" applyFill="1" applyBorder="1" applyAlignment="1">
      <alignment horizontal="center" vertical="center"/>
    </xf>
    <xf numFmtId="0" fontId="1" fillId="490" borderId="1" xfId="0" applyFont="1" applyFill="1" applyBorder="1" applyAlignment="1">
      <alignment horizontal="center" vertical="center"/>
    </xf>
    <xf numFmtId="49" fontId="1" fillId="491" borderId="1" xfId="0" applyNumberFormat="1" applyFont="1" applyFill="1" applyBorder="1" applyAlignment="1">
      <alignment horizontal="center" vertical="center"/>
    </xf>
    <xf numFmtId="49" fontId="1" fillId="492" borderId="1" xfId="0" applyNumberFormat="1" applyFont="1" applyFill="1" applyBorder="1" applyAlignment="1">
      <alignment horizontal="center" vertical="center"/>
    </xf>
    <xf numFmtId="49" fontId="1" fillId="493" borderId="1" xfId="0" applyNumberFormat="1" applyFont="1" applyFill="1" applyBorder="1" applyAlignment="1">
      <alignment horizontal="center" vertical="center"/>
    </xf>
    <xf numFmtId="0" fontId="1" fillId="494" borderId="1" xfId="0" applyFont="1" applyFill="1" applyBorder="1" applyAlignment="1">
      <alignment horizontal="center" vertical="center"/>
    </xf>
    <xf numFmtId="0" fontId="1" fillId="495" borderId="1" xfId="0" applyFont="1" applyFill="1" applyBorder="1" applyAlignment="1">
      <alignment horizontal="center" vertical="center"/>
    </xf>
    <xf numFmtId="49" fontId="1" fillId="496" borderId="1" xfId="0" applyNumberFormat="1" applyFont="1" applyFill="1" applyBorder="1" applyAlignment="1">
      <alignment horizontal="center" vertical="center"/>
    </xf>
    <xf numFmtId="49" fontId="1" fillId="497" borderId="1" xfId="0" applyNumberFormat="1" applyFont="1" applyFill="1" applyBorder="1" applyAlignment="1">
      <alignment horizontal="center" vertical="center"/>
    </xf>
    <xf numFmtId="0" fontId="1" fillId="498" borderId="1" xfId="0" applyFont="1" applyFill="1" applyBorder="1" applyAlignment="1">
      <alignment horizontal="center" vertical="center"/>
    </xf>
    <xf numFmtId="0" fontId="1" fillId="499" borderId="1" xfId="0" applyFont="1" applyFill="1" applyBorder="1" applyAlignment="1">
      <alignment horizontal="center" vertical="center"/>
    </xf>
    <xf numFmtId="0" fontId="1" fillId="500" borderId="1" xfId="0" applyFont="1" applyFill="1" applyBorder="1" applyAlignment="1">
      <alignment horizontal="center" vertical="center"/>
    </xf>
    <xf numFmtId="0" fontId="1" fillId="501" borderId="1" xfId="0" applyFont="1" applyFill="1" applyBorder="1" applyAlignment="1">
      <alignment horizontal="center" vertical="center"/>
    </xf>
    <xf numFmtId="0" fontId="1" fillId="502" borderId="1" xfId="0" applyFont="1" applyFill="1" applyBorder="1" applyAlignment="1">
      <alignment horizontal="center" vertical="center"/>
    </xf>
    <xf numFmtId="0" fontId="7" fillId="503" borderId="1" xfId="0" applyFont="1" applyFill="1" applyBorder="1" applyAlignment="1">
      <alignment horizontal="center" vertical="center"/>
    </xf>
    <xf numFmtId="49" fontId="1" fillId="504" borderId="1" xfId="0" applyNumberFormat="1" applyFont="1" applyFill="1" applyBorder="1" applyAlignment="1">
      <alignment horizontal="center" vertical="center"/>
    </xf>
    <xf numFmtId="49" fontId="1" fillId="505" borderId="1" xfId="0" applyNumberFormat="1" applyFont="1" applyFill="1" applyBorder="1" applyAlignment="1">
      <alignment horizontal="center" vertical="center"/>
    </xf>
    <xf numFmtId="49" fontId="1" fillId="506" borderId="1" xfId="0" applyNumberFormat="1" applyFont="1" applyFill="1" applyBorder="1" applyAlignment="1">
      <alignment horizontal="center" vertical="center"/>
    </xf>
    <xf numFmtId="0" fontId="1" fillId="507" borderId="1" xfId="0" applyFont="1" applyFill="1" applyBorder="1" applyAlignment="1">
      <alignment horizontal="center" vertical="center"/>
    </xf>
    <xf numFmtId="0" fontId="1" fillId="508" borderId="1" xfId="0" applyFont="1" applyFill="1" applyBorder="1" applyAlignment="1">
      <alignment horizontal="center" vertical="center"/>
    </xf>
    <xf numFmtId="49" fontId="1" fillId="509" borderId="1" xfId="0" applyNumberFormat="1" applyFont="1" applyFill="1" applyBorder="1" applyAlignment="1">
      <alignment horizontal="center" vertical="center"/>
    </xf>
    <xf numFmtId="0" fontId="1" fillId="510" borderId="1" xfId="0" applyFont="1" applyFill="1" applyBorder="1" applyAlignment="1">
      <alignment horizontal="center" vertical="center"/>
    </xf>
    <xf numFmtId="0" fontId="1" fillId="511" borderId="1" xfId="0" applyFont="1" applyFill="1" applyBorder="1" applyAlignment="1">
      <alignment horizontal="center" vertical="center"/>
    </xf>
    <xf numFmtId="49" fontId="1" fillId="512" borderId="1" xfId="0" applyNumberFormat="1" applyFont="1" applyFill="1" applyBorder="1" applyAlignment="1">
      <alignment horizontal="center" vertical="center"/>
    </xf>
    <xf numFmtId="49" fontId="1" fillId="513" borderId="1" xfId="0" applyNumberFormat="1" applyFont="1" applyFill="1" applyBorder="1" applyAlignment="1">
      <alignment horizontal="center" vertical="center"/>
    </xf>
    <xf numFmtId="49" fontId="1" fillId="514" borderId="1" xfId="0" applyNumberFormat="1" applyFont="1" applyFill="1" applyBorder="1" applyAlignment="1">
      <alignment horizontal="center" vertical="center"/>
    </xf>
    <xf numFmtId="49" fontId="1" fillId="515" borderId="1" xfId="0" applyNumberFormat="1" applyFont="1" applyFill="1" applyBorder="1" applyAlignment="1">
      <alignment horizontal="center" vertical="center"/>
    </xf>
    <xf numFmtId="0" fontId="1" fillId="516" borderId="1" xfId="0" applyFont="1" applyFill="1" applyBorder="1" applyAlignment="1">
      <alignment horizontal="center" vertical="center"/>
    </xf>
    <xf numFmtId="49" fontId="1" fillId="517" borderId="1" xfId="0" applyNumberFormat="1" applyFont="1" applyFill="1" applyBorder="1" applyAlignment="1">
      <alignment horizontal="center" vertical="center"/>
    </xf>
    <xf numFmtId="0" fontId="1" fillId="518" borderId="1" xfId="0" applyFont="1" applyFill="1" applyBorder="1" applyAlignment="1">
      <alignment horizontal="center" vertical="center"/>
    </xf>
    <xf numFmtId="49" fontId="1" fillId="519" borderId="1" xfId="0" applyNumberFormat="1" applyFont="1" applyFill="1" applyBorder="1" applyAlignment="1">
      <alignment horizontal="center" vertical="center"/>
    </xf>
    <xf numFmtId="0" fontId="1" fillId="520" borderId="1" xfId="0" applyFont="1" applyFill="1" applyBorder="1" applyAlignment="1">
      <alignment horizontal="center" vertical="center"/>
    </xf>
    <xf numFmtId="0" fontId="1" fillId="521" borderId="1" xfId="0" applyFont="1" applyFill="1" applyBorder="1" applyAlignment="1">
      <alignment horizontal="center" vertical="center"/>
    </xf>
    <xf numFmtId="0" fontId="1" fillId="522" borderId="1" xfId="0" applyFont="1" applyFill="1" applyBorder="1" applyAlignment="1">
      <alignment horizontal="center" vertical="center"/>
    </xf>
    <xf numFmtId="0" fontId="1" fillId="523" borderId="1" xfId="0" applyFont="1" applyFill="1" applyBorder="1" applyAlignment="1">
      <alignment horizontal="center" vertical="center"/>
    </xf>
    <xf numFmtId="0" fontId="1" fillId="524" borderId="1" xfId="0" applyFont="1" applyFill="1" applyBorder="1" applyAlignment="1">
      <alignment horizontal="center" vertical="center"/>
    </xf>
    <xf numFmtId="0" fontId="1" fillId="525" borderId="1" xfId="0" applyFont="1" applyFill="1" applyBorder="1" applyAlignment="1">
      <alignment horizontal="center" vertical="center"/>
    </xf>
    <xf numFmtId="49" fontId="1" fillId="526" borderId="1" xfId="0" applyNumberFormat="1" applyFont="1" applyFill="1" applyBorder="1" applyAlignment="1">
      <alignment horizontal="center" vertical="center"/>
    </xf>
    <xf numFmtId="0" fontId="1" fillId="527" borderId="1" xfId="0" applyFont="1" applyFill="1" applyBorder="1" applyAlignment="1">
      <alignment horizontal="center" vertical="center"/>
    </xf>
    <xf numFmtId="0" fontId="1" fillId="528" borderId="1" xfId="0" applyFont="1" applyFill="1" applyBorder="1" applyAlignment="1">
      <alignment horizontal="center" vertical="center"/>
    </xf>
    <xf numFmtId="0" fontId="1" fillId="529" borderId="1" xfId="0" applyFont="1" applyFill="1" applyBorder="1" applyAlignment="1">
      <alignment horizontal="center" vertical="center"/>
    </xf>
    <xf numFmtId="49" fontId="1" fillId="530" borderId="1" xfId="0" applyNumberFormat="1" applyFont="1" applyFill="1" applyBorder="1" applyAlignment="1">
      <alignment horizontal="center" vertical="center"/>
    </xf>
    <xf numFmtId="49" fontId="1" fillId="531" borderId="1" xfId="0" applyNumberFormat="1" applyFont="1" applyFill="1" applyBorder="1" applyAlignment="1">
      <alignment horizontal="center" vertical="center"/>
    </xf>
    <xf numFmtId="49" fontId="1" fillId="532" borderId="1" xfId="0" applyNumberFormat="1" applyFont="1" applyFill="1" applyBorder="1" applyAlignment="1">
      <alignment horizontal="center" vertical="center"/>
    </xf>
    <xf numFmtId="0" fontId="1" fillId="533" borderId="1" xfId="0" applyFont="1" applyFill="1" applyBorder="1" applyAlignment="1">
      <alignment horizontal="center" vertical="center"/>
    </xf>
    <xf numFmtId="49" fontId="1" fillId="534" borderId="1" xfId="0" applyNumberFormat="1" applyFont="1" applyFill="1" applyBorder="1" applyAlignment="1">
      <alignment horizontal="center" vertical="center"/>
    </xf>
    <xf numFmtId="0" fontId="1" fillId="535" borderId="1" xfId="0" applyFont="1" applyFill="1" applyBorder="1" applyAlignment="1">
      <alignment horizontal="center" vertical="center"/>
    </xf>
    <xf numFmtId="0" fontId="1" fillId="536" borderId="1" xfId="0" applyFont="1" applyFill="1" applyBorder="1" applyAlignment="1">
      <alignment horizontal="center" vertical="center"/>
    </xf>
    <xf numFmtId="49" fontId="1" fillId="537" borderId="1" xfId="0" applyNumberFormat="1" applyFont="1" applyFill="1" applyBorder="1" applyAlignment="1">
      <alignment horizontal="center" vertical="center"/>
    </xf>
    <xf numFmtId="49" fontId="1" fillId="538" borderId="1" xfId="0" applyNumberFormat="1" applyFont="1" applyFill="1" applyBorder="1" applyAlignment="1">
      <alignment horizontal="center" vertical="center"/>
    </xf>
    <xf numFmtId="49" fontId="1" fillId="539" borderId="1" xfId="0" applyNumberFormat="1" applyFont="1" applyFill="1" applyBorder="1" applyAlignment="1">
      <alignment horizontal="center" vertical="center"/>
    </xf>
    <xf numFmtId="0" fontId="1" fillId="540" borderId="1" xfId="0" applyFont="1" applyFill="1" applyBorder="1" applyAlignment="1">
      <alignment horizontal="center" vertical="center"/>
    </xf>
    <xf numFmtId="0" fontId="1" fillId="541" borderId="1" xfId="0" applyFont="1" applyFill="1" applyBorder="1" applyAlignment="1">
      <alignment horizontal="center" vertical="center"/>
    </xf>
    <xf numFmtId="0" fontId="1" fillId="542" borderId="1" xfId="0" applyFont="1" applyFill="1" applyBorder="1" applyAlignment="1">
      <alignment horizontal="center" vertical="center"/>
    </xf>
    <xf numFmtId="49" fontId="1" fillId="543" borderId="1" xfId="0" applyNumberFormat="1" applyFont="1" applyFill="1" applyBorder="1" applyAlignment="1">
      <alignment horizontal="center" vertical="center"/>
    </xf>
    <xf numFmtId="49" fontId="1" fillId="544" borderId="1" xfId="0" applyNumberFormat="1" applyFont="1" applyFill="1" applyBorder="1" applyAlignment="1">
      <alignment horizontal="center" vertical="center"/>
    </xf>
    <xf numFmtId="49" fontId="1" fillId="545" borderId="1" xfId="0" applyNumberFormat="1" applyFont="1" applyFill="1" applyBorder="1" applyAlignment="1">
      <alignment horizontal="center" vertical="center"/>
    </xf>
    <xf numFmtId="0" fontId="1" fillId="546" borderId="1" xfId="0" applyFont="1" applyFill="1" applyBorder="1" applyAlignment="1">
      <alignment horizontal="center" vertical="center"/>
    </xf>
    <xf numFmtId="0" fontId="1" fillId="547" borderId="1" xfId="0" applyFont="1" applyFill="1" applyBorder="1" applyAlignment="1">
      <alignment horizontal="center" vertical="center"/>
    </xf>
    <xf numFmtId="0" fontId="1" fillId="548" borderId="1" xfId="0" applyFont="1" applyFill="1" applyBorder="1" applyAlignment="1">
      <alignment horizontal="center" vertical="center"/>
    </xf>
    <xf numFmtId="0" fontId="1" fillId="549" borderId="1" xfId="0" applyFont="1" applyFill="1" applyBorder="1" applyAlignment="1">
      <alignment horizontal="center" vertical="center"/>
    </xf>
    <xf numFmtId="0" fontId="1" fillId="550" borderId="1" xfId="0" applyFont="1" applyFill="1" applyBorder="1" applyAlignment="1">
      <alignment horizontal="center" vertical="center"/>
    </xf>
    <xf numFmtId="0" fontId="1" fillId="551" borderId="1" xfId="0" applyFont="1" applyFill="1" applyBorder="1" applyAlignment="1">
      <alignment horizontal="center" vertical="center"/>
    </xf>
    <xf numFmtId="49" fontId="1" fillId="552" borderId="1" xfId="0" applyNumberFormat="1" applyFont="1" applyFill="1" applyBorder="1" applyAlignment="1">
      <alignment horizontal="center" vertical="center"/>
    </xf>
    <xf numFmtId="0" fontId="1" fillId="553" borderId="1" xfId="0" applyFont="1" applyFill="1" applyBorder="1" applyAlignment="1">
      <alignment horizontal="center" vertical="center"/>
    </xf>
    <xf numFmtId="0" fontId="1" fillId="554" borderId="1" xfId="0" applyFont="1" applyFill="1" applyBorder="1" applyAlignment="1">
      <alignment horizontal="center" vertical="center"/>
    </xf>
    <xf numFmtId="0" fontId="1" fillId="555" borderId="1" xfId="0" applyFont="1" applyFill="1" applyBorder="1" applyAlignment="1">
      <alignment horizontal="center" vertical="center"/>
    </xf>
    <xf numFmtId="49" fontId="1" fillId="556" borderId="1" xfId="0" applyNumberFormat="1" applyFont="1" applyFill="1" applyBorder="1" applyAlignment="1">
      <alignment horizontal="center" vertical="center"/>
    </xf>
    <xf numFmtId="49" fontId="1" fillId="557" borderId="1" xfId="0" applyNumberFormat="1" applyFont="1" applyFill="1" applyBorder="1" applyAlignment="1">
      <alignment horizontal="center" vertical="center"/>
    </xf>
    <xf numFmtId="0" fontId="1" fillId="558" borderId="1" xfId="0" applyFont="1" applyFill="1" applyBorder="1" applyAlignment="1">
      <alignment horizontal="center" vertical="center"/>
    </xf>
    <xf numFmtId="49" fontId="1" fillId="559" borderId="1" xfId="0" applyNumberFormat="1" applyFont="1" applyFill="1" applyBorder="1" applyAlignment="1">
      <alignment horizontal="center" vertical="center"/>
    </xf>
    <xf numFmtId="0" fontId="1" fillId="560" borderId="1" xfId="0" applyFont="1" applyFill="1" applyBorder="1" applyAlignment="1">
      <alignment horizontal="center" vertical="center"/>
    </xf>
    <xf numFmtId="0" fontId="1" fillId="561" borderId="1" xfId="0" applyFont="1" applyFill="1" applyBorder="1" applyAlignment="1">
      <alignment horizontal="center" vertical="center"/>
    </xf>
    <xf numFmtId="0" fontId="1" fillId="562" borderId="1" xfId="0" applyFont="1" applyFill="1" applyBorder="1" applyAlignment="1">
      <alignment horizontal="center" vertical="center"/>
    </xf>
    <xf numFmtId="49" fontId="1" fillId="563" borderId="1" xfId="0" applyNumberFormat="1" applyFont="1" applyFill="1" applyBorder="1" applyAlignment="1">
      <alignment horizontal="center" vertical="center"/>
    </xf>
    <xf numFmtId="0" fontId="1" fillId="564" borderId="1" xfId="0" applyFont="1" applyFill="1" applyBorder="1" applyAlignment="1">
      <alignment horizontal="center" vertical="center"/>
    </xf>
    <xf numFmtId="0" fontId="1" fillId="565" borderId="1" xfId="0" applyFont="1" applyFill="1" applyBorder="1" applyAlignment="1">
      <alignment horizontal="center" vertical="center"/>
    </xf>
    <xf numFmtId="49" fontId="1" fillId="566" borderId="1" xfId="0" applyNumberFormat="1" applyFont="1" applyFill="1" applyBorder="1" applyAlignment="1">
      <alignment horizontal="center" vertical="center"/>
    </xf>
    <xf numFmtId="0" fontId="1" fillId="567" borderId="1" xfId="0" applyFont="1" applyFill="1" applyBorder="1" applyAlignment="1">
      <alignment horizontal="center" vertical="center"/>
    </xf>
    <xf numFmtId="0" fontId="1" fillId="568" borderId="1" xfId="0" applyFont="1" applyFill="1" applyBorder="1" applyAlignment="1">
      <alignment horizontal="center" vertical="center"/>
    </xf>
    <xf numFmtId="49" fontId="1" fillId="569" borderId="1" xfId="0" applyNumberFormat="1" applyFont="1" applyFill="1" applyBorder="1" applyAlignment="1">
      <alignment horizontal="center" vertical="center"/>
    </xf>
    <xf numFmtId="49" fontId="1" fillId="570" borderId="1" xfId="0" applyNumberFormat="1" applyFont="1" applyFill="1" applyBorder="1" applyAlignment="1">
      <alignment horizontal="center" vertical="center"/>
    </xf>
    <xf numFmtId="0" fontId="1" fillId="571" borderId="1" xfId="0" applyFont="1" applyFill="1" applyBorder="1" applyAlignment="1">
      <alignment horizontal="center" vertical="center"/>
    </xf>
    <xf numFmtId="49" fontId="1" fillId="572" borderId="1" xfId="0" applyNumberFormat="1" applyFont="1" applyFill="1" applyBorder="1" applyAlignment="1">
      <alignment horizontal="center" vertical="center"/>
    </xf>
    <xf numFmtId="49" fontId="1" fillId="573" borderId="1" xfId="0" applyNumberFormat="1" applyFont="1" applyFill="1" applyBorder="1" applyAlignment="1">
      <alignment horizontal="center" vertical="center"/>
    </xf>
    <xf numFmtId="49" fontId="1" fillId="574" borderId="1" xfId="0" applyNumberFormat="1" applyFont="1" applyFill="1" applyBorder="1" applyAlignment="1">
      <alignment horizontal="center" vertical="center"/>
    </xf>
    <xf numFmtId="49" fontId="1" fillId="575" borderId="1" xfId="0" applyNumberFormat="1" applyFont="1" applyFill="1" applyBorder="1" applyAlignment="1">
      <alignment horizontal="center" vertical="center"/>
    </xf>
    <xf numFmtId="0" fontId="1" fillId="576" borderId="1" xfId="0" applyFont="1" applyFill="1" applyBorder="1" applyAlignment="1">
      <alignment horizontal="center" vertical="center"/>
    </xf>
    <xf numFmtId="0" fontId="1" fillId="577" borderId="1" xfId="0" applyFont="1" applyFill="1" applyBorder="1" applyAlignment="1">
      <alignment horizontal="center" vertical="center"/>
    </xf>
    <xf numFmtId="0" fontId="1" fillId="578" borderId="1" xfId="0" applyFont="1" applyFill="1" applyBorder="1" applyAlignment="1">
      <alignment horizontal="center" vertical="center"/>
    </xf>
    <xf numFmtId="49" fontId="1" fillId="579" borderId="1" xfId="0" applyNumberFormat="1" applyFont="1" applyFill="1" applyBorder="1" applyAlignment="1">
      <alignment horizontal="center" vertical="center"/>
    </xf>
    <xf numFmtId="49" fontId="1" fillId="580" borderId="1" xfId="0" applyNumberFormat="1" applyFont="1" applyFill="1" applyBorder="1" applyAlignment="1">
      <alignment horizontal="center" vertical="center"/>
    </xf>
    <xf numFmtId="0" fontId="1" fillId="581" borderId="1" xfId="0" applyFont="1" applyFill="1" applyBorder="1" applyAlignment="1">
      <alignment horizontal="center" vertical="center"/>
    </xf>
    <xf numFmtId="49" fontId="1" fillId="582" borderId="1" xfId="0" applyNumberFormat="1" applyFont="1" applyFill="1" applyBorder="1" applyAlignment="1">
      <alignment horizontal="center" vertical="center"/>
    </xf>
    <xf numFmtId="49" fontId="1" fillId="583" borderId="1" xfId="0" applyNumberFormat="1" applyFont="1" applyFill="1" applyBorder="1" applyAlignment="1">
      <alignment horizontal="center" vertical="center"/>
    </xf>
    <xf numFmtId="49" fontId="1" fillId="584" borderId="1" xfId="0" applyNumberFormat="1" applyFont="1" applyFill="1" applyBorder="1" applyAlignment="1">
      <alignment horizontal="center" vertical="center"/>
    </xf>
    <xf numFmtId="0" fontId="1" fillId="585" borderId="1" xfId="0" applyFont="1" applyFill="1" applyBorder="1" applyAlignment="1">
      <alignment horizontal="center" vertical="center"/>
    </xf>
    <xf numFmtId="0" fontId="1" fillId="586" borderId="1" xfId="0" applyFont="1" applyFill="1" applyBorder="1" applyAlignment="1">
      <alignment horizontal="center" vertical="center"/>
    </xf>
    <xf numFmtId="49" fontId="1" fillId="587" borderId="1" xfId="0" applyNumberFormat="1" applyFont="1" applyFill="1" applyBorder="1" applyAlignment="1">
      <alignment horizontal="center" vertical="center"/>
    </xf>
    <xf numFmtId="49" fontId="1" fillId="588" borderId="1" xfId="0" applyNumberFormat="1" applyFont="1" applyFill="1" applyBorder="1" applyAlignment="1">
      <alignment horizontal="center" vertical="center"/>
    </xf>
    <xf numFmtId="0" fontId="8" fillId="589" borderId="1" xfId="0" applyFont="1" applyFill="1" applyBorder="1" applyAlignment="1">
      <alignment horizontal="center" vertical="center"/>
    </xf>
    <xf numFmtId="0" fontId="1" fillId="590" borderId="1" xfId="0" applyFont="1" applyFill="1" applyBorder="1" applyAlignment="1">
      <alignment horizontal="center" vertical="center"/>
    </xf>
    <xf numFmtId="0" fontId="1" fillId="591" borderId="1" xfId="0" applyFont="1" applyFill="1" applyBorder="1" applyAlignment="1">
      <alignment horizontal="center" vertical="center"/>
    </xf>
    <xf numFmtId="0" fontId="1" fillId="592" borderId="1" xfId="0" applyFont="1" applyFill="1" applyBorder="1" applyAlignment="1">
      <alignment horizontal="center" vertical="center"/>
    </xf>
    <xf numFmtId="0" fontId="1" fillId="593" borderId="1" xfId="0" applyFont="1" applyFill="1" applyBorder="1" applyAlignment="1">
      <alignment horizontal="center" vertical="center"/>
    </xf>
    <xf numFmtId="49" fontId="1" fillId="594" borderId="1" xfId="0" applyNumberFormat="1" applyFont="1" applyFill="1" applyBorder="1" applyAlignment="1">
      <alignment horizontal="center" vertical="center"/>
    </xf>
    <xf numFmtId="49" fontId="1" fillId="595" borderId="1" xfId="0" applyNumberFormat="1" applyFont="1" applyFill="1" applyBorder="1" applyAlignment="1">
      <alignment horizontal="center" vertical="center"/>
    </xf>
    <xf numFmtId="49" fontId="1" fillId="596" borderId="1" xfId="0" applyNumberFormat="1" applyFont="1" applyFill="1" applyBorder="1" applyAlignment="1">
      <alignment horizontal="center" vertical="center"/>
    </xf>
    <xf numFmtId="0" fontId="1" fillId="597" borderId="1" xfId="0" applyFont="1" applyFill="1" applyBorder="1" applyAlignment="1">
      <alignment horizontal="center" vertical="center"/>
    </xf>
    <xf numFmtId="49" fontId="1" fillId="598" borderId="1" xfId="0" applyNumberFormat="1" applyFont="1" applyFill="1" applyBorder="1" applyAlignment="1">
      <alignment horizontal="center" vertical="center"/>
    </xf>
    <xf numFmtId="0" fontId="1" fillId="599" borderId="1" xfId="0" applyFont="1" applyFill="1" applyBorder="1" applyAlignment="1">
      <alignment horizontal="center" vertical="center"/>
    </xf>
    <xf numFmtId="0" fontId="1" fillId="600" borderId="1" xfId="0" applyFont="1" applyFill="1" applyBorder="1" applyAlignment="1">
      <alignment horizontal="center" vertical="center"/>
    </xf>
    <xf numFmtId="0" fontId="1" fillId="601" borderId="1" xfId="0" applyFont="1" applyFill="1" applyBorder="1" applyAlignment="1">
      <alignment horizontal="center" vertical="center"/>
    </xf>
    <xf numFmtId="49" fontId="1" fillId="602" borderId="1" xfId="0" applyNumberFormat="1" applyFont="1" applyFill="1" applyBorder="1" applyAlignment="1">
      <alignment horizontal="center" vertical="center"/>
    </xf>
    <xf numFmtId="49" fontId="1" fillId="603" borderId="1" xfId="0" applyNumberFormat="1" applyFont="1" applyFill="1" applyBorder="1" applyAlignment="1">
      <alignment horizontal="center" vertical="center"/>
    </xf>
    <xf numFmtId="49" fontId="1" fillId="604" borderId="1" xfId="0" applyNumberFormat="1" applyFont="1" applyFill="1" applyBorder="1" applyAlignment="1">
      <alignment horizontal="center" vertical="center"/>
    </xf>
    <xf numFmtId="49" fontId="1" fillId="605" borderId="1" xfId="0" applyNumberFormat="1" applyFont="1" applyFill="1" applyBorder="1" applyAlignment="1">
      <alignment horizontal="center" vertical="center"/>
    </xf>
    <xf numFmtId="49" fontId="1" fillId="606" borderId="1" xfId="0" applyNumberFormat="1" applyFont="1" applyFill="1" applyBorder="1" applyAlignment="1">
      <alignment horizontal="center" vertical="center"/>
    </xf>
    <xf numFmtId="49" fontId="1" fillId="607" borderId="1" xfId="0" applyNumberFormat="1" applyFont="1" applyFill="1" applyBorder="1" applyAlignment="1">
      <alignment horizontal="center" vertical="center"/>
    </xf>
    <xf numFmtId="49" fontId="1" fillId="608" borderId="1" xfId="0" applyNumberFormat="1" applyFont="1" applyFill="1" applyBorder="1" applyAlignment="1">
      <alignment horizontal="center" vertical="center"/>
    </xf>
    <xf numFmtId="49" fontId="1" fillId="609" borderId="1" xfId="0" applyNumberFormat="1" applyFont="1" applyFill="1" applyBorder="1" applyAlignment="1">
      <alignment horizontal="center" vertical="center"/>
    </xf>
    <xf numFmtId="0" fontId="1" fillId="610" borderId="1" xfId="0" applyFont="1" applyFill="1" applyBorder="1" applyAlignment="1">
      <alignment horizontal="center" vertical="center"/>
    </xf>
    <xf numFmtId="49" fontId="1" fillId="611" borderId="1" xfId="0" applyNumberFormat="1" applyFont="1" applyFill="1" applyBorder="1" applyAlignment="1">
      <alignment horizontal="center" vertical="center"/>
    </xf>
    <xf numFmtId="49" fontId="1" fillId="612" borderId="1" xfId="0" applyNumberFormat="1" applyFont="1" applyFill="1" applyBorder="1" applyAlignment="1">
      <alignment horizontal="center" vertical="center"/>
    </xf>
    <xf numFmtId="49" fontId="1" fillId="613" borderId="1" xfId="0" applyNumberFormat="1" applyFont="1" applyFill="1" applyBorder="1" applyAlignment="1">
      <alignment horizontal="center" vertical="center"/>
    </xf>
    <xf numFmtId="0" fontId="1" fillId="614" borderId="1" xfId="0" applyFont="1" applyFill="1" applyBorder="1" applyAlignment="1">
      <alignment horizontal="center" vertical="center"/>
    </xf>
    <xf numFmtId="0" fontId="1" fillId="615" borderId="1" xfId="0" applyFont="1" applyFill="1" applyBorder="1" applyAlignment="1">
      <alignment horizontal="center" vertical="center"/>
    </xf>
    <xf numFmtId="0" fontId="1" fillId="616" borderId="1" xfId="0" applyFont="1" applyFill="1" applyBorder="1" applyAlignment="1">
      <alignment horizontal="center" vertical="center"/>
    </xf>
    <xf numFmtId="0" fontId="0" fillId="0" borderId="1" xfId="0" applyBorder="1"/>
    <xf numFmtId="49" fontId="1" fillId="617" borderId="1" xfId="0" applyNumberFormat="1" applyFont="1" applyFill="1" applyBorder="1" applyAlignment="1">
      <alignment horizontal="center" vertical="center"/>
    </xf>
    <xf numFmtId="49" fontId="1" fillId="618" borderId="1" xfId="0" applyNumberFormat="1" applyFont="1" applyFill="1" applyBorder="1" applyAlignment="1">
      <alignment horizontal="center" vertical="center"/>
    </xf>
    <xf numFmtId="0" fontId="1" fillId="619" borderId="1" xfId="0" applyFont="1" applyFill="1" applyBorder="1" applyAlignment="1">
      <alignment horizontal="center" vertical="center"/>
    </xf>
    <xf numFmtId="0" fontId="1" fillId="620" borderId="1" xfId="0" applyFont="1" applyFill="1" applyBorder="1" applyAlignment="1">
      <alignment horizontal="center" vertical="center"/>
    </xf>
    <xf numFmtId="49" fontId="1" fillId="621" borderId="1" xfId="0" applyNumberFormat="1" applyFont="1" applyFill="1" applyBorder="1" applyAlignment="1">
      <alignment horizontal="center" vertical="center"/>
    </xf>
    <xf numFmtId="0" fontId="1" fillId="622" borderId="1" xfId="0" applyFont="1" applyFill="1" applyBorder="1" applyAlignment="1">
      <alignment horizontal="center" vertical="center"/>
    </xf>
    <xf numFmtId="49" fontId="1" fillId="623" borderId="1" xfId="0" applyNumberFormat="1" applyFont="1" applyFill="1" applyBorder="1" applyAlignment="1">
      <alignment horizontal="center" vertical="center"/>
    </xf>
    <xf numFmtId="49" fontId="1" fillId="624" borderId="1" xfId="0" applyNumberFormat="1" applyFont="1" applyFill="1" applyBorder="1" applyAlignment="1">
      <alignment horizontal="center" vertical="center"/>
    </xf>
    <xf numFmtId="0" fontId="1" fillId="625" borderId="1" xfId="0" applyFont="1" applyFill="1" applyBorder="1" applyAlignment="1">
      <alignment horizontal="center" vertical="center"/>
    </xf>
    <xf numFmtId="0" fontId="1" fillId="626" borderId="1" xfId="0" applyFont="1" applyFill="1" applyBorder="1" applyAlignment="1">
      <alignment horizontal="center" vertical="center"/>
    </xf>
    <xf numFmtId="0" fontId="1" fillId="627" borderId="1" xfId="0" applyFont="1" applyFill="1" applyBorder="1" applyAlignment="1">
      <alignment horizontal="center" vertical="center"/>
    </xf>
    <xf numFmtId="49" fontId="1" fillId="628" borderId="1" xfId="0" applyNumberFormat="1" applyFont="1" applyFill="1" applyBorder="1" applyAlignment="1">
      <alignment horizontal="center" vertical="center"/>
    </xf>
    <xf numFmtId="49" fontId="1" fillId="629" borderId="1" xfId="0" applyNumberFormat="1" applyFont="1" applyFill="1" applyBorder="1" applyAlignment="1">
      <alignment horizontal="center" vertical="center"/>
    </xf>
    <xf numFmtId="49" fontId="1" fillId="630" borderId="1" xfId="0" applyNumberFormat="1" applyFont="1" applyFill="1" applyBorder="1" applyAlignment="1">
      <alignment horizontal="center" vertical="center"/>
    </xf>
    <xf numFmtId="49" fontId="1" fillId="631" borderId="1" xfId="0" applyNumberFormat="1" applyFont="1" applyFill="1" applyBorder="1" applyAlignment="1">
      <alignment horizontal="center" vertical="center"/>
    </xf>
    <xf numFmtId="49" fontId="1" fillId="632" borderId="1" xfId="0" applyNumberFormat="1" applyFont="1" applyFill="1" applyBorder="1" applyAlignment="1">
      <alignment horizontal="center" vertical="center"/>
    </xf>
    <xf numFmtId="49" fontId="1" fillId="633" borderId="1" xfId="0" applyNumberFormat="1" applyFont="1" applyFill="1" applyBorder="1" applyAlignment="1">
      <alignment horizontal="center" vertical="center"/>
    </xf>
    <xf numFmtId="0" fontId="1" fillId="634" borderId="1" xfId="0" applyFont="1" applyFill="1" applyBorder="1" applyAlignment="1">
      <alignment horizontal="center" vertical="center"/>
    </xf>
    <xf numFmtId="49" fontId="1" fillId="635" borderId="1" xfId="0" applyNumberFormat="1" applyFont="1" applyFill="1" applyBorder="1" applyAlignment="1">
      <alignment horizontal="center" vertical="center"/>
    </xf>
    <xf numFmtId="0" fontId="1" fillId="636" borderId="1" xfId="0" applyFont="1" applyFill="1" applyBorder="1" applyAlignment="1">
      <alignment horizontal="center" vertical="center"/>
    </xf>
    <xf numFmtId="0" fontId="1" fillId="637" borderId="1" xfId="0" applyFont="1" applyFill="1" applyBorder="1" applyAlignment="1">
      <alignment horizontal="center" vertical="center"/>
    </xf>
    <xf numFmtId="49" fontId="1" fillId="638" borderId="1" xfId="0" applyNumberFormat="1" applyFont="1" applyFill="1" applyBorder="1" applyAlignment="1">
      <alignment horizontal="center" vertical="center"/>
    </xf>
    <xf numFmtId="0" fontId="9" fillId="639" borderId="1" xfId="0" applyFont="1" applyFill="1" applyBorder="1" applyAlignment="1">
      <alignment horizontal="center" vertical="center"/>
    </xf>
    <xf numFmtId="0" fontId="1" fillId="640" borderId="1" xfId="0" applyFont="1" applyFill="1" applyBorder="1" applyAlignment="1">
      <alignment horizontal="center" vertical="center"/>
    </xf>
    <xf numFmtId="49" fontId="1" fillId="641" borderId="1" xfId="0" applyNumberFormat="1" applyFont="1" applyFill="1" applyBorder="1" applyAlignment="1">
      <alignment horizontal="center" vertical="center"/>
    </xf>
    <xf numFmtId="0" fontId="1" fillId="642" borderId="1" xfId="0" applyFont="1" applyFill="1" applyBorder="1" applyAlignment="1">
      <alignment horizontal="center" vertical="center"/>
    </xf>
    <xf numFmtId="49" fontId="1" fillId="643" borderId="1" xfId="0" applyNumberFormat="1" applyFont="1" applyFill="1" applyBorder="1" applyAlignment="1">
      <alignment horizontal="center" vertical="center"/>
    </xf>
    <xf numFmtId="0" fontId="1" fillId="644" borderId="1" xfId="0" applyFont="1" applyFill="1" applyBorder="1" applyAlignment="1">
      <alignment horizontal="center" vertical="center"/>
    </xf>
    <xf numFmtId="49" fontId="1" fillId="645" borderId="1" xfId="0" applyNumberFormat="1" applyFont="1" applyFill="1" applyBorder="1" applyAlignment="1">
      <alignment horizontal="center" vertical="center"/>
    </xf>
    <xf numFmtId="49" fontId="1" fillId="646" borderId="1" xfId="0" applyNumberFormat="1" applyFont="1" applyFill="1" applyBorder="1" applyAlignment="1">
      <alignment horizontal="center" vertical="center"/>
    </xf>
    <xf numFmtId="49" fontId="1" fillId="647" borderId="1" xfId="0" applyNumberFormat="1" applyFont="1" applyFill="1" applyBorder="1" applyAlignment="1">
      <alignment horizontal="center" vertical="center"/>
    </xf>
    <xf numFmtId="49" fontId="1" fillId="648" borderId="1" xfId="0" applyNumberFormat="1" applyFont="1" applyFill="1" applyBorder="1" applyAlignment="1">
      <alignment horizontal="center" vertical="center"/>
    </xf>
    <xf numFmtId="0" fontId="1" fillId="649" borderId="1" xfId="0" applyFont="1" applyFill="1" applyBorder="1" applyAlignment="1">
      <alignment horizontal="center" vertical="center"/>
    </xf>
    <xf numFmtId="49" fontId="1" fillId="650" borderId="1" xfId="0" applyNumberFormat="1" applyFont="1" applyFill="1" applyBorder="1" applyAlignment="1">
      <alignment horizontal="center" vertical="center"/>
    </xf>
    <xf numFmtId="49" fontId="1" fillId="651" borderId="1" xfId="0" applyNumberFormat="1" applyFont="1" applyFill="1" applyBorder="1" applyAlignment="1">
      <alignment horizontal="center" vertical="center"/>
    </xf>
    <xf numFmtId="49" fontId="1" fillId="652" borderId="1" xfId="0" applyNumberFormat="1" applyFont="1" applyFill="1" applyBorder="1" applyAlignment="1">
      <alignment horizontal="center" vertical="center"/>
    </xf>
    <xf numFmtId="0" fontId="1" fillId="653" borderId="1" xfId="0" applyFont="1" applyFill="1" applyBorder="1" applyAlignment="1">
      <alignment horizontal="center" vertical="center"/>
    </xf>
    <xf numFmtId="49" fontId="1" fillId="654" borderId="1" xfId="0" applyNumberFormat="1" applyFont="1" applyFill="1" applyBorder="1" applyAlignment="1">
      <alignment horizontal="center" vertical="center"/>
    </xf>
    <xf numFmtId="49" fontId="1" fillId="655" borderId="1" xfId="0" applyNumberFormat="1" applyFont="1" applyFill="1" applyBorder="1" applyAlignment="1">
      <alignment horizontal="center" vertical="center"/>
    </xf>
    <xf numFmtId="0" fontId="1" fillId="656" borderId="1" xfId="0" applyFont="1" applyFill="1" applyBorder="1" applyAlignment="1">
      <alignment horizontal="center" vertical="center"/>
    </xf>
    <xf numFmtId="49" fontId="1" fillId="657" borderId="1" xfId="0" applyNumberFormat="1" applyFont="1" applyFill="1" applyBorder="1" applyAlignment="1">
      <alignment horizontal="center" vertical="center"/>
    </xf>
    <xf numFmtId="49" fontId="1" fillId="658" borderId="1" xfId="0" applyNumberFormat="1" applyFont="1" applyFill="1" applyBorder="1" applyAlignment="1">
      <alignment horizontal="center" vertical="center"/>
    </xf>
    <xf numFmtId="0" fontId="1" fillId="659" borderId="1" xfId="0" applyFont="1" applyFill="1" applyBorder="1" applyAlignment="1">
      <alignment horizontal="center" vertical="center"/>
    </xf>
    <xf numFmtId="49" fontId="1" fillId="660" borderId="1" xfId="0" applyNumberFormat="1" applyFont="1" applyFill="1" applyBorder="1" applyAlignment="1">
      <alignment horizontal="center" vertical="center"/>
    </xf>
    <xf numFmtId="0" fontId="1" fillId="661" borderId="1" xfId="0" applyFont="1" applyFill="1" applyBorder="1" applyAlignment="1">
      <alignment horizontal="center" vertical="center"/>
    </xf>
    <xf numFmtId="49" fontId="1" fillId="662" borderId="1" xfId="0" applyNumberFormat="1" applyFont="1" applyFill="1" applyBorder="1" applyAlignment="1">
      <alignment horizontal="center" vertical="center"/>
    </xf>
    <xf numFmtId="49" fontId="1" fillId="663" borderId="1" xfId="0" applyNumberFormat="1" applyFont="1" applyFill="1" applyBorder="1" applyAlignment="1">
      <alignment horizontal="center" vertical="center"/>
    </xf>
    <xf numFmtId="49" fontId="1" fillId="664" borderId="1" xfId="0" applyNumberFormat="1" applyFont="1" applyFill="1" applyBorder="1" applyAlignment="1">
      <alignment horizontal="center" vertical="center"/>
    </xf>
    <xf numFmtId="49" fontId="1" fillId="665" borderId="1" xfId="0" applyNumberFormat="1" applyFont="1" applyFill="1" applyBorder="1" applyAlignment="1">
      <alignment horizontal="center" vertical="center"/>
    </xf>
    <xf numFmtId="49" fontId="1" fillId="666" borderId="1" xfId="0" applyNumberFormat="1" applyFont="1" applyFill="1" applyBorder="1" applyAlignment="1">
      <alignment horizontal="center" vertical="center"/>
    </xf>
    <xf numFmtId="0" fontId="1" fillId="667" borderId="1" xfId="0" applyFont="1" applyFill="1" applyBorder="1" applyAlignment="1">
      <alignment horizontal="center" vertical="center"/>
    </xf>
    <xf numFmtId="49" fontId="1" fillId="668" borderId="1" xfId="0" applyNumberFormat="1" applyFont="1" applyFill="1" applyBorder="1" applyAlignment="1">
      <alignment horizontal="center" vertical="center"/>
    </xf>
    <xf numFmtId="49" fontId="1" fillId="669" borderId="1" xfId="0" applyNumberFormat="1" applyFont="1" applyFill="1" applyBorder="1" applyAlignment="1">
      <alignment horizontal="center" vertical="center"/>
    </xf>
    <xf numFmtId="49" fontId="1" fillId="670" borderId="1" xfId="0" applyNumberFormat="1" applyFont="1" applyFill="1" applyBorder="1" applyAlignment="1">
      <alignment horizontal="center" vertical="center"/>
    </xf>
    <xf numFmtId="49" fontId="1" fillId="671" borderId="1" xfId="0" applyNumberFormat="1" applyFont="1" applyFill="1" applyBorder="1" applyAlignment="1">
      <alignment horizontal="center" vertical="center"/>
    </xf>
    <xf numFmtId="0" fontId="1" fillId="672" borderId="1" xfId="0" applyFont="1" applyFill="1" applyBorder="1" applyAlignment="1">
      <alignment horizontal="center" vertical="center"/>
    </xf>
    <xf numFmtId="49" fontId="1" fillId="673" borderId="1" xfId="0" applyNumberFormat="1" applyFont="1" applyFill="1" applyBorder="1" applyAlignment="1">
      <alignment horizontal="center" vertical="center"/>
    </xf>
    <xf numFmtId="49" fontId="1" fillId="674" borderId="1" xfId="0" applyNumberFormat="1" applyFont="1" applyFill="1" applyBorder="1" applyAlignment="1">
      <alignment horizontal="center" vertical="center"/>
    </xf>
    <xf numFmtId="49" fontId="1" fillId="675" borderId="1" xfId="0" applyNumberFormat="1" applyFont="1" applyFill="1" applyBorder="1" applyAlignment="1">
      <alignment horizontal="center" vertical="center"/>
    </xf>
    <xf numFmtId="49" fontId="1" fillId="676" borderId="1" xfId="0" applyNumberFormat="1" applyFont="1" applyFill="1" applyBorder="1" applyAlignment="1">
      <alignment horizontal="center" vertical="center"/>
    </xf>
    <xf numFmtId="49" fontId="1" fillId="677" borderId="1" xfId="0" applyNumberFormat="1" applyFont="1" applyFill="1" applyBorder="1" applyAlignment="1">
      <alignment horizontal="center" vertical="center"/>
    </xf>
    <xf numFmtId="49" fontId="1" fillId="678" borderId="1" xfId="0" applyNumberFormat="1" applyFont="1" applyFill="1" applyBorder="1" applyAlignment="1">
      <alignment horizontal="center" vertical="center"/>
    </xf>
    <xf numFmtId="49" fontId="1" fillId="679" borderId="1" xfId="0" applyNumberFormat="1" applyFont="1" applyFill="1" applyBorder="1" applyAlignment="1">
      <alignment horizontal="center" vertical="center"/>
    </xf>
    <xf numFmtId="49" fontId="1" fillId="680" borderId="1" xfId="0" applyNumberFormat="1" applyFont="1" applyFill="1" applyBorder="1" applyAlignment="1">
      <alignment horizontal="center" vertical="center"/>
    </xf>
    <xf numFmtId="49" fontId="1" fillId="681" borderId="1" xfId="0" applyNumberFormat="1" applyFont="1" applyFill="1" applyBorder="1" applyAlignment="1">
      <alignment horizontal="center" vertical="center"/>
    </xf>
    <xf numFmtId="0" fontId="1" fillId="682" borderId="1" xfId="0" applyFont="1" applyFill="1" applyBorder="1" applyAlignment="1">
      <alignment horizontal="center" vertical="center"/>
    </xf>
    <xf numFmtId="49" fontId="1" fillId="683" borderId="1" xfId="0" applyNumberFormat="1" applyFont="1" applyFill="1" applyBorder="1" applyAlignment="1">
      <alignment horizontal="center" vertical="center"/>
    </xf>
    <xf numFmtId="0" fontId="1" fillId="684" borderId="1" xfId="0" applyFont="1" applyFill="1" applyBorder="1" applyAlignment="1">
      <alignment horizontal="center" vertical="center"/>
    </xf>
    <xf numFmtId="49" fontId="1" fillId="685" borderId="1" xfId="0" applyNumberFormat="1" applyFont="1" applyFill="1" applyBorder="1" applyAlignment="1">
      <alignment horizontal="center" vertical="center"/>
    </xf>
    <xf numFmtId="49" fontId="1" fillId="686" borderId="1" xfId="0" applyNumberFormat="1" applyFont="1" applyFill="1" applyBorder="1" applyAlignment="1">
      <alignment horizontal="center" vertical="center"/>
    </xf>
    <xf numFmtId="49" fontId="1" fillId="687" borderId="1" xfId="0" applyNumberFormat="1" applyFont="1" applyFill="1" applyBorder="1" applyAlignment="1">
      <alignment horizontal="center" vertical="center"/>
    </xf>
    <xf numFmtId="49" fontId="1" fillId="688" borderId="1" xfId="0" applyNumberFormat="1" applyFont="1" applyFill="1" applyBorder="1" applyAlignment="1">
      <alignment horizontal="center" vertical="center"/>
    </xf>
    <xf numFmtId="49" fontId="1" fillId="689" borderId="1" xfId="0" applyNumberFormat="1" applyFont="1" applyFill="1" applyBorder="1" applyAlignment="1">
      <alignment horizontal="center" vertical="center"/>
    </xf>
    <xf numFmtId="0" fontId="1" fillId="690" borderId="1" xfId="0" applyFont="1" applyFill="1" applyBorder="1" applyAlignment="1">
      <alignment horizontal="center" vertical="center"/>
    </xf>
    <xf numFmtId="49" fontId="1" fillId="691" borderId="1" xfId="0" applyNumberFormat="1" applyFont="1" applyFill="1" applyBorder="1" applyAlignment="1">
      <alignment horizontal="center" vertical="center"/>
    </xf>
    <xf numFmtId="0" fontId="1" fillId="692" borderId="1" xfId="0" applyFont="1" applyFill="1" applyBorder="1" applyAlignment="1">
      <alignment horizontal="center" vertical="center"/>
    </xf>
    <xf numFmtId="49" fontId="1" fillId="693" borderId="1" xfId="0" applyNumberFormat="1" applyFont="1" applyFill="1" applyBorder="1" applyAlignment="1">
      <alignment horizontal="center" vertical="center"/>
    </xf>
    <xf numFmtId="0" fontId="1" fillId="694" borderId="1" xfId="0" applyFont="1" applyFill="1" applyBorder="1" applyAlignment="1">
      <alignment horizontal="center" vertical="center"/>
    </xf>
    <xf numFmtId="0" fontId="1" fillId="695" borderId="1" xfId="0" applyFont="1" applyFill="1" applyBorder="1" applyAlignment="1">
      <alignment horizontal="center" vertical="center"/>
    </xf>
    <xf numFmtId="49" fontId="1" fillId="696" borderId="1" xfId="0" applyNumberFormat="1" applyFont="1" applyFill="1" applyBorder="1" applyAlignment="1">
      <alignment horizontal="center" vertical="center"/>
    </xf>
    <xf numFmtId="49" fontId="1" fillId="697" borderId="1" xfId="0" applyNumberFormat="1" applyFont="1" applyFill="1" applyBorder="1" applyAlignment="1">
      <alignment horizontal="center" vertical="center"/>
    </xf>
    <xf numFmtId="49" fontId="1" fillId="698" borderId="1" xfId="0" applyNumberFormat="1" applyFont="1" applyFill="1" applyBorder="1" applyAlignment="1">
      <alignment horizontal="center" vertical="center"/>
    </xf>
    <xf numFmtId="49" fontId="1" fillId="699" borderId="1" xfId="0" applyNumberFormat="1" applyFont="1" applyFill="1" applyBorder="1" applyAlignment="1">
      <alignment horizontal="center" vertical="center"/>
    </xf>
    <xf numFmtId="49" fontId="1" fillId="700" borderId="1" xfId="0" applyNumberFormat="1" applyFont="1" applyFill="1" applyBorder="1" applyAlignment="1">
      <alignment horizontal="center" vertical="center"/>
    </xf>
    <xf numFmtId="49" fontId="1" fillId="701" borderId="1" xfId="0" applyNumberFormat="1" applyFont="1" applyFill="1" applyBorder="1" applyAlignment="1">
      <alignment horizontal="center" vertical="center"/>
    </xf>
    <xf numFmtId="0" fontId="1" fillId="702" borderId="1" xfId="0" applyFont="1" applyFill="1" applyBorder="1" applyAlignment="1">
      <alignment horizontal="center" vertical="center"/>
    </xf>
    <xf numFmtId="0" fontId="1" fillId="703" borderId="1" xfId="0" applyFont="1" applyFill="1" applyBorder="1" applyAlignment="1">
      <alignment horizontal="center" vertical="center"/>
    </xf>
    <xf numFmtId="0" fontId="1" fillId="704" borderId="1" xfId="0" applyFont="1" applyFill="1" applyBorder="1" applyAlignment="1">
      <alignment horizontal="center" vertical="center"/>
    </xf>
    <xf numFmtId="0" fontId="1" fillId="705" borderId="1" xfId="0" applyFont="1" applyFill="1" applyBorder="1" applyAlignment="1">
      <alignment horizontal="center" vertical="center"/>
    </xf>
    <xf numFmtId="49" fontId="1" fillId="706" borderId="1" xfId="0" applyNumberFormat="1" applyFont="1" applyFill="1" applyBorder="1" applyAlignment="1">
      <alignment horizontal="center" vertical="center"/>
    </xf>
    <xf numFmtId="49" fontId="1" fillId="707" borderId="1" xfId="0" applyNumberFormat="1" applyFont="1" applyFill="1" applyBorder="1" applyAlignment="1">
      <alignment horizontal="center" vertical="center"/>
    </xf>
    <xf numFmtId="0" fontId="1" fillId="708" borderId="1" xfId="0" applyFont="1" applyFill="1" applyBorder="1" applyAlignment="1">
      <alignment horizontal="center" vertical="center"/>
    </xf>
    <xf numFmtId="0" fontId="1" fillId="709" borderId="1" xfId="0" applyFont="1" applyFill="1" applyBorder="1" applyAlignment="1">
      <alignment horizontal="center" vertical="center"/>
    </xf>
    <xf numFmtId="0" fontId="1" fillId="710" borderId="1" xfId="0" applyFont="1" applyFill="1" applyBorder="1" applyAlignment="1">
      <alignment horizontal="center" vertical="center"/>
    </xf>
    <xf numFmtId="0" fontId="1" fillId="711" borderId="1" xfId="0" applyFont="1" applyFill="1" applyBorder="1" applyAlignment="1">
      <alignment horizontal="center" vertical="center"/>
    </xf>
    <xf numFmtId="0" fontId="1" fillId="712" borderId="1" xfId="0" applyFont="1" applyFill="1" applyBorder="1" applyAlignment="1">
      <alignment horizontal="center" vertical="center"/>
    </xf>
    <xf numFmtId="49" fontId="1" fillId="713" borderId="1" xfId="0" applyNumberFormat="1" applyFont="1" applyFill="1" applyBorder="1" applyAlignment="1">
      <alignment horizontal="center" vertical="center"/>
    </xf>
    <xf numFmtId="49" fontId="1" fillId="714" borderId="1" xfId="0" applyNumberFormat="1" applyFont="1" applyFill="1" applyBorder="1" applyAlignment="1">
      <alignment horizontal="center" vertical="center"/>
    </xf>
    <xf numFmtId="49" fontId="1" fillId="715" borderId="1" xfId="0" applyNumberFormat="1" applyFont="1" applyFill="1" applyBorder="1" applyAlignment="1">
      <alignment horizontal="center" vertical="center"/>
    </xf>
    <xf numFmtId="49" fontId="1" fillId="716" borderId="1" xfId="0" applyNumberFormat="1" applyFont="1" applyFill="1" applyBorder="1" applyAlignment="1">
      <alignment horizontal="center" vertical="center"/>
    </xf>
    <xf numFmtId="49" fontId="1" fillId="717" borderId="1" xfId="0" applyNumberFormat="1" applyFont="1" applyFill="1" applyBorder="1" applyAlignment="1">
      <alignment horizontal="center" vertical="center"/>
    </xf>
    <xf numFmtId="49" fontId="1" fillId="718" borderId="1" xfId="0" applyNumberFormat="1" applyFont="1" applyFill="1" applyBorder="1" applyAlignment="1">
      <alignment horizontal="center" vertical="center"/>
    </xf>
    <xf numFmtId="49" fontId="1" fillId="719" borderId="1" xfId="0" applyNumberFormat="1" applyFont="1" applyFill="1" applyBorder="1" applyAlignment="1">
      <alignment horizontal="center" vertical="center"/>
    </xf>
    <xf numFmtId="49" fontId="1" fillId="720" borderId="1" xfId="0" applyNumberFormat="1" applyFont="1" applyFill="1" applyBorder="1" applyAlignment="1">
      <alignment horizontal="center" vertical="center"/>
    </xf>
    <xf numFmtId="0" fontId="1" fillId="721" borderId="1" xfId="0" applyFont="1" applyFill="1" applyBorder="1" applyAlignment="1">
      <alignment horizontal="center" vertical="center"/>
    </xf>
    <xf numFmtId="49" fontId="1" fillId="722" borderId="1" xfId="0" applyNumberFormat="1" applyFont="1" applyFill="1" applyBorder="1" applyAlignment="1">
      <alignment horizontal="center" vertical="center"/>
    </xf>
    <xf numFmtId="0" fontId="1" fillId="723" borderId="1" xfId="0" applyFont="1" applyFill="1" applyBorder="1" applyAlignment="1">
      <alignment horizontal="center" vertical="center"/>
    </xf>
    <xf numFmtId="49" fontId="1" fillId="724" borderId="1" xfId="0" applyNumberFormat="1" applyFont="1" applyFill="1" applyBorder="1" applyAlignment="1">
      <alignment horizontal="center" vertical="center"/>
    </xf>
    <xf numFmtId="49" fontId="1" fillId="725" borderId="1" xfId="0" applyNumberFormat="1" applyFont="1" applyFill="1" applyBorder="1" applyAlignment="1">
      <alignment horizontal="center" vertical="center"/>
    </xf>
    <xf numFmtId="49" fontId="1" fillId="726" borderId="1" xfId="0" applyNumberFormat="1" applyFont="1" applyFill="1" applyBorder="1" applyAlignment="1">
      <alignment horizontal="center" vertical="center"/>
    </xf>
    <xf numFmtId="0" fontId="1" fillId="727" borderId="1" xfId="0" applyFont="1" applyFill="1" applyBorder="1" applyAlignment="1">
      <alignment horizontal="center" vertical="center"/>
    </xf>
    <xf numFmtId="0" fontId="1" fillId="728" borderId="1" xfId="0" applyFont="1" applyFill="1" applyBorder="1" applyAlignment="1">
      <alignment horizontal="center" vertical="center"/>
    </xf>
    <xf numFmtId="49" fontId="1" fillId="729" borderId="1" xfId="0" applyNumberFormat="1" applyFont="1" applyFill="1" applyBorder="1" applyAlignment="1">
      <alignment horizontal="center" vertical="center"/>
    </xf>
    <xf numFmtId="49" fontId="1" fillId="730" borderId="1" xfId="0" applyNumberFormat="1" applyFont="1" applyFill="1" applyBorder="1" applyAlignment="1">
      <alignment horizontal="center" vertical="center"/>
    </xf>
    <xf numFmtId="49" fontId="1" fillId="731" borderId="1" xfId="0" applyNumberFormat="1" applyFont="1" applyFill="1" applyBorder="1" applyAlignment="1">
      <alignment horizontal="center" vertical="center"/>
    </xf>
    <xf numFmtId="0" fontId="1" fillId="732" borderId="1" xfId="0" applyFont="1" applyFill="1" applyBorder="1" applyAlignment="1">
      <alignment horizontal="center" vertical="center"/>
    </xf>
    <xf numFmtId="0" fontId="1" fillId="733" borderId="1" xfId="0" applyFont="1" applyFill="1" applyBorder="1" applyAlignment="1">
      <alignment horizontal="center" vertical="center"/>
    </xf>
    <xf numFmtId="0" fontId="1" fillId="734" borderId="1" xfId="0" applyFont="1" applyFill="1" applyBorder="1" applyAlignment="1">
      <alignment horizontal="center" vertical="center"/>
    </xf>
    <xf numFmtId="49" fontId="1" fillId="735" borderId="1" xfId="0" applyNumberFormat="1" applyFont="1" applyFill="1" applyBorder="1" applyAlignment="1">
      <alignment horizontal="center" vertical="center"/>
    </xf>
    <xf numFmtId="49" fontId="1" fillId="736" borderId="1" xfId="0" applyNumberFormat="1" applyFont="1" applyFill="1" applyBorder="1" applyAlignment="1">
      <alignment horizontal="center" vertical="center"/>
    </xf>
    <xf numFmtId="49" fontId="1" fillId="737" borderId="1" xfId="0" applyNumberFormat="1" applyFont="1" applyFill="1" applyBorder="1" applyAlignment="1">
      <alignment horizontal="center" vertical="center"/>
    </xf>
    <xf numFmtId="49" fontId="1" fillId="738" borderId="1" xfId="0" applyNumberFormat="1" applyFont="1" applyFill="1" applyBorder="1" applyAlignment="1">
      <alignment horizontal="center" vertical="center"/>
    </xf>
    <xf numFmtId="0" fontId="1" fillId="739" borderId="1" xfId="0" applyFont="1" applyFill="1" applyBorder="1" applyAlignment="1">
      <alignment horizontal="center" vertical="center"/>
    </xf>
    <xf numFmtId="49" fontId="1" fillId="740" borderId="1" xfId="0" applyNumberFormat="1" applyFont="1" applyFill="1" applyBorder="1" applyAlignment="1">
      <alignment horizontal="center" vertical="center"/>
    </xf>
    <xf numFmtId="49" fontId="1" fillId="741" borderId="1" xfId="0" applyNumberFormat="1" applyFont="1" applyFill="1" applyBorder="1" applyAlignment="1">
      <alignment horizontal="center" vertical="center"/>
    </xf>
    <xf numFmtId="0" fontId="1" fillId="742" borderId="1" xfId="0" applyFont="1" applyFill="1" applyBorder="1" applyAlignment="1">
      <alignment horizontal="center" vertical="center"/>
    </xf>
    <xf numFmtId="49" fontId="1" fillId="743" borderId="1" xfId="0" applyNumberFormat="1" applyFont="1" applyFill="1" applyBorder="1" applyAlignment="1">
      <alignment horizontal="center" vertical="center"/>
    </xf>
    <xf numFmtId="0" fontId="1" fillId="744" borderId="1" xfId="0" applyFont="1" applyFill="1" applyBorder="1" applyAlignment="1">
      <alignment horizontal="center" vertical="center"/>
    </xf>
    <xf numFmtId="49" fontId="1" fillId="745" borderId="1" xfId="0" applyNumberFormat="1" applyFont="1" applyFill="1" applyBorder="1" applyAlignment="1">
      <alignment horizontal="center" vertical="center"/>
    </xf>
    <xf numFmtId="49" fontId="1" fillId="746" borderId="1" xfId="0" applyNumberFormat="1" applyFont="1" applyFill="1" applyBorder="1" applyAlignment="1">
      <alignment horizontal="center" vertical="center"/>
    </xf>
    <xf numFmtId="49" fontId="1" fillId="747" borderId="1" xfId="0" applyNumberFormat="1" applyFont="1" applyFill="1" applyBorder="1" applyAlignment="1">
      <alignment horizontal="center" vertical="center"/>
    </xf>
    <xf numFmtId="49" fontId="1" fillId="748" borderId="1" xfId="0" applyNumberFormat="1" applyFont="1" applyFill="1" applyBorder="1" applyAlignment="1">
      <alignment horizontal="center" vertical="center"/>
    </xf>
    <xf numFmtId="0" fontId="1" fillId="749" borderId="1" xfId="0" applyFont="1" applyFill="1" applyBorder="1" applyAlignment="1">
      <alignment horizontal="center" vertical="center"/>
    </xf>
    <xf numFmtId="0" fontId="1" fillId="750" borderId="1" xfId="0" applyFont="1" applyFill="1" applyBorder="1" applyAlignment="1">
      <alignment horizontal="center" vertical="center"/>
    </xf>
    <xf numFmtId="0" fontId="1" fillId="751" borderId="1" xfId="0" applyFont="1" applyFill="1" applyBorder="1" applyAlignment="1">
      <alignment horizontal="center" vertical="center"/>
    </xf>
    <xf numFmtId="0" fontId="1" fillId="752" borderId="1" xfId="0" applyFont="1" applyFill="1" applyBorder="1" applyAlignment="1">
      <alignment horizontal="center" vertical="center"/>
    </xf>
    <xf numFmtId="0" fontId="1" fillId="753" borderId="1" xfId="0" applyFont="1" applyFill="1" applyBorder="1" applyAlignment="1">
      <alignment horizontal="center" vertical="center"/>
    </xf>
    <xf numFmtId="49" fontId="1" fillId="754" borderId="1" xfId="0" applyNumberFormat="1" applyFont="1" applyFill="1" applyBorder="1" applyAlignment="1">
      <alignment horizontal="center" vertical="center"/>
    </xf>
    <xf numFmtId="0" fontId="1" fillId="755" borderId="1" xfId="0" applyFont="1" applyFill="1" applyBorder="1" applyAlignment="1">
      <alignment horizontal="center" vertical="center"/>
    </xf>
    <xf numFmtId="49" fontId="1" fillId="756" borderId="1" xfId="0" applyNumberFormat="1" applyFont="1" applyFill="1" applyBorder="1" applyAlignment="1">
      <alignment horizontal="center" vertical="center"/>
    </xf>
    <xf numFmtId="49" fontId="1" fillId="757" borderId="1" xfId="0" applyNumberFormat="1" applyFont="1" applyFill="1" applyBorder="1" applyAlignment="1">
      <alignment horizontal="center" vertical="center"/>
    </xf>
    <xf numFmtId="49" fontId="1" fillId="758" borderId="1" xfId="0" applyNumberFormat="1" applyFont="1" applyFill="1" applyBorder="1" applyAlignment="1">
      <alignment horizontal="center" vertical="center"/>
    </xf>
    <xf numFmtId="49" fontId="1" fillId="759" borderId="1" xfId="0" applyNumberFormat="1" applyFont="1" applyFill="1" applyBorder="1" applyAlignment="1">
      <alignment horizontal="center" vertical="center"/>
    </xf>
    <xf numFmtId="49" fontId="1" fillId="760" borderId="1" xfId="0" applyNumberFormat="1" applyFont="1" applyFill="1" applyBorder="1" applyAlignment="1">
      <alignment horizontal="center" vertical="center"/>
    </xf>
    <xf numFmtId="49" fontId="1" fillId="761" borderId="1" xfId="0" applyNumberFormat="1" applyFont="1" applyFill="1" applyBorder="1" applyAlignment="1">
      <alignment horizontal="center" vertical="center"/>
    </xf>
    <xf numFmtId="49" fontId="1" fillId="762" borderId="1" xfId="0" applyNumberFormat="1" applyFont="1" applyFill="1" applyBorder="1" applyAlignment="1">
      <alignment horizontal="center" vertical="center"/>
    </xf>
    <xf numFmtId="0" fontId="1" fillId="763" borderId="1" xfId="0" applyFont="1" applyFill="1" applyBorder="1" applyAlignment="1">
      <alignment horizontal="center" vertical="center"/>
    </xf>
    <xf numFmtId="49" fontId="1" fillId="764" borderId="1" xfId="0" applyNumberFormat="1" applyFont="1" applyFill="1" applyBorder="1" applyAlignment="1">
      <alignment horizontal="center" vertical="center"/>
    </xf>
    <xf numFmtId="49" fontId="1" fillId="765" borderId="1" xfId="0" applyNumberFormat="1" applyFont="1" applyFill="1" applyBorder="1" applyAlignment="1">
      <alignment horizontal="center" vertical="center"/>
    </xf>
    <xf numFmtId="49" fontId="1" fillId="766" borderId="1" xfId="0" applyNumberFormat="1" applyFont="1" applyFill="1" applyBorder="1" applyAlignment="1">
      <alignment horizontal="center" vertical="center"/>
    </xf>
    <xf numFmtId="0" fontId="1" fillId="767" borderId="1" xfId="0" applyFont="1" applyFill="1" applyBorder="1" applyAlignment="1">
      <alignment horizontal="center" vertical="center"/>
    </xf>
    <xf numFmtId="0" fontId="1" fillId="768" borderId="1" xfId="0" applyFont="1" applyFill="1" applyBorder="1" applyAlignment="1">
      <alignment horizontal="center" vertical="center"/>
    </xf>
    <xf numFmtId="49" fontId="1" fillId="769" borderId="1" xfId="0" applyNumberFormat="1" applyFont="1" applyFill="1" applyBorder="1" applyAlignment="1">
      <alignment horizontal="center" vertical="center"/>
    </xf>
    <xf numFmtId="0" fontId="1" fillId="770" borderId="1" xfId="0" applyFont="1" applyFill="1" applyBorder="1" applyAlignment="1">
      <alignment horizontal="center" vertical="center"/>
    </xf>
    <xf numFmtId="49" fontId="1" fillId="771" borderId="1" xfId="0" applyNumberFormat="1" applyFont="1" applyFill="1" applyBorder="1" applyAlignment="1">
      <alignment horizontal="center" vertical="center"/>
    </xf>
    <xf numFmtId="49" fontId="1" fillId="772" borderId="1" xfId="0" applyNumberFormat="1" applyFont="1" applyFill="1" applyBorder="1" applyAlignment="1">
      <alignment horizontal="center" vertical="center"/>
    </xf>
    <xf numFmtId="0" fontId="1" fillId="773" borderId="1" xfId="0" applyFont="1" applyFill="1" applyBorder="1" applyAlignment="1">
      <alignment horizontal="center" vertical="center"/>
    </xf>
    <xf numFmtId="0" fontId="1" fillId="774" borderId="1" xfId="0" applyFont="1" applyFill="1" applyBorder="1" applyAlignment="1">
      <alignment horizontal="center" vertical="center"/>
    </xf>
    <xf numFmtId="0" fontId="1" fillId="775" borderId="1" xfId="0" applyFont="1" applyFill="1" applyBorder="1" applyAlignment="1">
      <alignment horizontal="center" vertical="center"/>
    </xf>
    <xf numFmtId="0" fontId="1" fillId="776" borderId="1" xfId="0" applyFont="1" applyFill="1" applyBorder="1" applyAlignment="1">
      <alignment horizontal="center" vertical="center"/>
    </xf>
    <xf numFmtId="49" fontId="1" fillId="777" borderId="1" xfId="0" applyNumberFormat="1" applyFont="1" applyFill="1" applyBorder="1" applyAlignment="1">
      <alignment horizontal="center" vertical="center"/>
    </xf>
    <xf numFmtId="49" fontId="1" fillId="778" borderId="1" xfId="0" applyNumberFormat="1" applyFont="1" applyFill="1" applyBorder="1" applyAlignment="1">
      <alignment horizontal="center" vertical="center"/>
    </xf>
    <xf numFmtId="49" fontId="1" fillId="779" borderId="1" xfId="0" applyNumberFormat="1" applyFont="1" applyFill="1" applyBorder="1" applyAlignment="1">
      <alignment horizontal="center" vertical="center"/>
    </xf>
    <xf numFmtId="49" fontId="1" fillId="780" borderId="1" xfId="0" applyNumberFormat="1" applyFont="1" applyFill="1" applyBorder="1" applyAlignment="1">
      <alignment horizontal="center" vertical="center"/>
    </xf>
    <xf numFmtId="49" fontId="1" fillId="781" borderId="1" xfId="0" applyNumberFormat="1" applyFont="1" applyFill="1" applyBorder="1" applyAlignment="1">
      <alignment horizontal="center" vertical="center"/>
    </xf>
    <xf numFmtId="49" fontId="1" fillId="782" borderId="1" xfId="0" applyNumberFormat="1" applyFont="1" applyFill="1" applyBorder="1" applyAlignment="1">
      <alignment horizontal="center" vertical="center"/>
    </xf>
    <xf numFmtId="49" fontId="1" fillId="783" borderId="1" xfId="0" applyNumberFormat="1" applyFont="1" applyFill="1" applyBorder="1" applyAlignment="1">
      <alignment horizontal="center" vertical="center"/>
    </xf>
    <xf numFmtId="49" fontId="1" fillId="784" borderId="1" xfId="0" applyNumberFormat="1" applyFont="1" applyFill="1" applyBorder="1" applyAlignment="1">
      <alignment horizontal="center" vertical="center"/>
    </xf>
    <xf numFmtId="49" fontId="1" fillId="785" borderId="1" xfId="0" applyNumberFormat="1" applyFont="1" applyFill="1" applyBorder="1" applyAlignment="1">
      <alignment horizontal="center" vertical="center"/>
    </xf>
    <xf numFmtId="0" fontId="1" fillId="786" borderId="1" xfId="0" applyFont="1" applyFill="1" applyBorder="1" applyAlignment="1">
      <alignment horizontal="center" vertical="center"/>
    </xf>
    <xf numFmtId="49" fontId="1" fillId="787" borderId="1" xfId="0" applyNumberFormat="1" applyFont="1" applyFill="1" applyBorder="1" applyAlignment="1">
      <alignment horizontal="center" vertical="center"/>
    </xf>
    <xf numFmtId="49" fontId="1" fillId="788" borderId="1" xfId="0" applyNumberFormat="1" applyFont="1" applyFill="1" applyBorder="1" applyAlignment="1">
      <alignment horizontal="center" vertical="center"/>
    </xf>
    <xf numFmtId="49" fontId="1" fillId="789" borderId="1" xfId="0" applyNumberFormat="1" applyFont="1" applyFill="1" applyBorder="1" applyAlignment="1">
      <alignment horizontal="center" vertical="center"/>
    </xf>
    <xf numFmtId="0" fontId="1" fillId="790" borderId="1" xfId="0" applyFont="1" applyFill="1" applyBorder="1" applyAlignment="1">
      <alignment horizontal="center" vertical="center"/>
    </xf>
    <xf numFmtId="49" fontId="1" fillId="791" borderId="1" xfId="0" applyNumberFormat="1" applyFont="1" applyFill="1" applyBorder="1" applyAlignment="1">
      <alignment horizontal="center" vertical="center"/>
    </xf>
    <xf numFmtId="0" fontId="1" fillId="792" borderId="1" xfId="0" applyFont="1" applyFill="1" applyBorder="1" applyAlignment="1">
      <alignment horizontal="center" vertical="center"/>
    </xf>
    <xf numFmtId="0" fontId="1" fillId="793" borderId="1" xfId="0" applyFont="1" applyFill="1" applyBorder="1" applyAlignment="1">
      <alignment horizontal="center" vertical="center"/>
    </xf>
    <xf numFmtId="0" fontId="1" fillId="794" borderId="1" xfId="0" applyFont="1" applyFill="1" applyBorder="1" applyAlignment="1">
      <alignment horizontal="center" vertical="center"/>
    </xf>
    <xf numFmtId="0" fontId="1" fillId="795" borderId="1" xfId="0" applyFont="1" applyFill="1" applyBorder="1" applyAlignment="1">
      <alignment horizontal="center" vertical="center"/>
    </xf>
    <xf numFmtId="0" fontId="1" fillId="796" borderId="1" xfId="0" applyFont="1" applyFill="1" applyBorder="1" applyAlignment="1">
      <alignment horizontal="center" vertical="center"/>
    </xf>
    <xf numFmtId="0" fontId="1" fillId="797" borderId="1" xfId="0" applyFont="1" applyFill="1" applyBorder="1" applyAlignment="1">
      <alignment horizontal="center" vertical="center"/>
    </xf>
    <xf numFmtId="0" fontId="1" fillId="798" borderId="1" xfId="0" applyFont="1" applyFill="1" applyBorder="1" applyAlignment="1">
      <alignment horizontal="center" vertical="center"/>
    </xf>
    <xf numFmtId="0" fontId="1" fillId="799" borderId="1" xfId="0" applyFont="1" applyFill="1" applyBorder="1" applyAlignment="1">
      <alignment horizontal="center" vertical="center"/>
    </xf>
    <xf numFmtId="49" fontId="1" fillId="800" borderId="1" xfId="0" applyNumberFormat="1" applyFont="1" applyFill="1" applyBorder="1" applyAlignment="1">
      <alignment horizontal="center" vertical="center"/>
    </xf>
    <xf numFmtId="0" fontId="1" fillId="801" borderId="1" xfId="0" applyFont="1" applyFill="1" applyBorder="1" applyAlignment="1">
      <alignment horizontal="center" vertical="center"/>
    </xf>
    <xf numFmtId="0" fontId="1" fillId="802" borderId="1" xfId="0" applyFont="1" applyFill="1" applyBorder="1" applyAlignment="1">
      <alignment horizontal="center" vertical="center"/>
    </xf>
    <xf numFmtId="0" fontId="1" fillId="803" borderId="1" xfId="0" applyFont="1" applyFill="1" applyBorder="1" applyAlignment="1">
      <alignment horizontal="center" vertical="center"/>
    </xf>
    <xf numFmtId="49" fontId="1" fillId="804" borderId="1" xfId="0" applyNumberFormat="1" applyFont="1" applyFill="1" applyBorder="1" applyAlignment="1">
      <alignment horizontal="center" vertical="center"/>
    </xf>
    <xf numFmtId="0" fontId="1" fillId="805" borderId="1" xfId="0" applyFont="1" applyFill="1" applyBorder="1" applyAlignment="1">
      <alignment horizontal="center" vertical="center"/>
    </xf>
    <xf numFmtId="0" fontId="1" fillId="776" borderId="0" xfId="0" applyFont="1" applyFill="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wrapText="1"/>
    </xf>
    <xf numFmtId="0" fontId="1" fillId="0" borderId="2" xfId="0" applyFont="1" applyBorder="1" applyAlignment="1" applyProtection="1">
      <alignment horizontal="left" vertical="center" wrapText="1"/>
    </xf>
    <xf numFmtId="0" fontId="1" fillId="0" borderId="2" xfId="0" applyFont="1" applyBorder="1" applyAlignment="1">
      <alignment horizontal="center" vertical="center"/>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0" borderId="2" xfId="0" applyFont="1" applyBorder="1" applyAlignment="1">
      <alignment horizontal="left" vertical="center" wrapText="1"/>
    </xf>
    <xf numFmtId="49" fontId="1" fillId="806" borderId="2" xfId="0" applyNumberFormat="1" applyFont="1" applyFill="1" applyBorder="1" applyAlignment="1">
      <alignment horizontal="center" vertical="center"/>
    </xf>
    <xf numFmtId="0" fontId="1" fillId="776" borderId="2" xfId="0" applyFont="1" applyFill="1" applyBorder="1" applyAlignment="1">
      <alignment horizontal="center" vertical="center"/>
    </xf>
    <xf numFmtId="0" fontId="1" fillId="12" borderId="2" xfId="0" applyFont="1" applyFill="1" applyBorder="1" applyAlignment="1">
      <alignment horizontal="center" vertical="center"/>
    </xf>
    <xf numFmtId="0" fontId="1" fillId="807" borderId="2" xfId="0" applyFont="1" applyFill="1" applyBorder="1" applyAlignment="1">
      <alignment horizontal="center" vertical="center"/>
    </xf>
    <xf numFmtId="0" fontId="1" fillId="808" borderId="2" xfId="0" applyFont="1" applyFill="1" applyBorder="1" applyAlignment="1">
      <alignment horizontal="center" vertical="center"/>
    </xf>
    <xf numFmtId="0" fontId="1" fillId="809" borderId="2" xfId="0" applyFont="1" applyFill="1" applyBorder="1" applyAlignment="1">
      <alignment horizontal="center" vertical="center"/>
    </xf>
    <xf numFmtId="0" fontId="1" fillId="810" borderId="2" xfId="0" applyFont="1" applyFill="1" applyBorder="1" applyAlignment="1">
      <alignment horizontal="center" vertical="center"/>
    </xf>
    <xf numFmtId="49" fontId="1" fillId="811" borderId="2" xfId="0" applyNumberFormat="1" applyFont="1" applyFill="1" applyBorder="1" applyAlignment="1">
      <alignment horizontal="center" vertical="center"/>
    </xf>
    <xf numFmtId="49" fontId="1" fillId="812" borderId="2" xfId="0" applyNumberFormat="1" applyFont="1" applyFill="1" applyBorder="1" applyAlignment="1">
      <alignment horizontal="center" vertical="center"/>
    </xf>
    <xf numFmtId="49" fontId="1" fillId="813" borderId="2" xfId="0" applyNumberFormat="1" applyFont="1" applyFill="1" applyBorder="1" applyAlignment="1">
      <alignment horizontal="center" vertical="center"/>
    </xf>
    <xf numFmtId="0" fontId="1" fillId="814" borderId="2" xfId="0" applyFont="1" applyFill="1" applyBorder="1" applyAlignment="1">
      <alignment horizontal="center" vertical="center"/>
    </xf>
    <xf numFmtId="49" fontId="1" fillId="815" borderId="2" xfId="0" applyNumberFormat="1" applyFont="1" applyFill="1" applyBorder="1" applyAlignment="1">
      <alignment horizontal="center" vertical="center"/>
    </xf>
    <xf numFmtId="0" fontId="1" fillId="816" borderId="2" xfId="0" applyFont="1" applyFill="1" applyBorder="1" applyAlignment="1">
      <alignment horizontal="center" vertical="center"/>
    </xf>
    <xf numFmtId="0" fontId="1" fillId="817" borderId="2" xfId="0" applyFont="1" applyFill="1" applyBorder="1" applyAlignment="1">
      <alignment horizontal="center" vertical="center"/>
    </xf>
    <xf numFmtId="49" fontId="1" fillId="818" borderId="2" xfId="0" applyNumberFormat="1" applyFont="1" applyFill="1" applyBorder="1" applyAlignment="1">
      <alignment horizontal="center" vertical="center"/>
    </xf>
    <xf numFmtId="0" fontId="1" fillId="819" borderId="2" xfId="0" applyFont="1" applyFill="1" applyBorder="1" applyAlignment="1">
      <alignment horizontal="center" vertical="center"/>
    </xf>
    <xf numFmtId="49" fontId="1" fillId="820" borderId="2" xfId="0" applyNumberFormat="1" applyFont="1" applyFill="1" applyBorder="1" applyAlignment="1">
      <alignment horizontal="center" vertical="center"/>
    </xf>
    <xf numFmtId="49" fontId="1" fillId="821" borderId="2" xfId="0" applyNumberFormat="1" applyFont="1" applyFill="1" applyBorder="1" applyAlignment="1">
      <alignment horizontal="center" vertical="center"/>
    </xf>
    <xf numFmtId="3" fontId="1" fillId="7" borderId="2" xfId="0" applyNumberFormat="1" applyFont="1" applyFill="1" applyBorder="1" applyAlignment="1">
      <alignment horizontal="center" vertical="center" wrapText="1"/>
    </xf>
    <xf numFmtId="0" fontId="1" fillId="822" borderId="2" xfId="0" applyFont="1" applyFill="1" applyBorder="1" applyAlignment="1">
      <alignment horizontal="center" vertical="center"/>
    </xf>
    <xf numFmtId="49" fontId="1" fillId="823" borderId="2" xfId="0" applyNumberFormat="1" applyFont="1" applyFill="1" applyBorder="1" applyAlignment="1">
      <alignment horizontal="center" vertical="center"/>
    </xf>
    <xf numFmtId="49" fontId="1" fillId="824" borderId="2" xfId="0" applyNumberFormat="1" applyFont="1" applyFill="1" applyBorder="1" applyAlignment="1">
      <alignment horizontal="center" vertical="center"/>
    </xf>
    <xf numFmtId="49" fontId="1" fillId="825" borderId="2" xfId="0" applyNumberFormat="1" applyFont="1" applyFill="1" applyBorder="1" applyAlignment="1">
      <alignment horizontal="center" vertical="center"/>
    </xf>
    <xf numFmtId="0" fontId="1" fillId="826" borderId="2" xfId="0" applyFont="1" applyFill="1" applyBorder="1" applyAlignment="1">
      <alignment horizontal="center" vertical="center"/>
    </xf>
    <xf numFmtId="49" fontId="1" fillId="827" borderId="2" xfId="0" applyNumberFormat="1" applyFont="1" applyFill="1" applyBorder="1" applyAlignment="1">
      <alignment horizontal="center" vertical="center"/>
    </xf>
    <xf numFmtId="49" fontId="1" fillId="828" borderId="2" xfId="0" applyNumberFormat="1" applyFont="1" applyFill="1" applyBorder="1" applyAlignment="1">
      <alignment horizontal="center" vertical="center"/>
    </xf>
    <xf numFmtId="0" fontId="1" fillId="9" borderId="2" xfId="0" applyFont="1" applyFill="1" applyBorder="1" applyAlignment="1">
      <alignment horizontal="center" vertical="center" wrapText="1"/>
    </xf>
    <xf numFmtId="49" fontId="1" fillId="829" borderId="2" xfId="0" applyNumberFormat="1" applyFont="1" applyFill="1" applyBorder="1" applyAlignment="1">
      <alignment horizontal="center" vertical="center"/>
    </xf>
    <xf numFmtId="49" fontId="1" fillId="830" borderId="2" xfId="0" applyNumberFormat="1" applyFont="1" applyFill="1" applyBorder="1" applyAlignment="1">
      <alignment horizontal="center" vertical="center"/>
    </xf>
    <xf numFmtId="49" fontId="1" fillId="831" borderId="2" xfId="0" applyNumberFormat="1" applyFont="1" applyFill="1" applyBorder="1" applyAlignment="1">
      <alignment horizontal="center" vertical="center"/>
    </xf>
    <xf numFmtId="49" fontId="1" fillId="832" borderId="2" xfId="0" applyNumberFormat="1" applyFont="1" applyFill="1" applyBorder="1" applyAlignment="1">
      <alignment horizontal="center" vertical="center"/>
    </xf>
    <xf numFmtId="49" fontId="1" fillId="833" borderId="2" xfId="0" applyNumberFormat="1" applyFont="1" applyFill="1" applyBorder="1" applyAlignment="1">
      <alignment horizontal="center" vertical="center"/>
    </xf>
    <xf numFmtId="0" fontId="1" fillId="834" borderId="2" xfId="0" applyFont="1" applyFill="1" applyBorder="1" applyAlignment="1">
      <alignment horizontal="center" vertical="center"/>
    </xf>
    <xf numFmtId="0" fontId="1" fillId="835" borderId="2" xfId="0" applyFont="1" applyFill="1" applyBorder="1" applyAlignment="1">
      <alignment horizontal="center" vertical="center"/>
    </xf>
    <xf numFmtId="0" fontId="1" fillId="836" borderId="2" xfId="0" applyFont="1" applyFill="1" applyBorder="1" applyAlignment="1">
      <alignment horizontal="center" vertical="center"/>
    </xf>
    <xf numFmtId="0" fontId="1" fillId="837" borderId="2" xfId="0" applyFont="1" applyFill="1" applyBorder="1" applyAlignment="1">
      <alignment horizontal="center" vertical="center"/>
    </xf>
    <xf numFmtId="49" fontId="1" fillId="838" borderId="2" xfId="0" applyNumberFormat="1" applyFont="1" applyFill="1" applyBorder="1" applyAlignment="1">
      <alignment horizontal="center" vertical="center"/>
    </xf>
    <xf numFmtId="49" fontId="1" fillId="839" borderId="2" xfId="0" applyNumberFormat="1" applyFont="1" applyFill="1" applyBorder="1" applyAlignment="1">
      <alignment horizontal="center" vertical="center"/>
    </xf>
    <xf numFmtId="0" fontId="1" fillId="9" borderId="2" xfId="0" applyFont="1" applyFill="1" applyBorder="1" applyAlignment="1">
      <alignment horizontal="center" vertical="center"/>
    </xf>
    <xf numFmtId="0" fontId="1" fillId="6" borderId="2" xfId="0" applyFont="1" applyFill="1" applyBorder="1" applyAlignment="1">
      <alignment horizontal="center" vertical="center"/>
    </xf>
    <xf numFmtId="49" fontId="1" fillId="840" borderId="2" xfId="0" applyNumberFormat="1" applyFont="1" applyFill="1" applyBorder="1" applyAlignment="1">
      <alignment horizontal="center" vertical="center"/>
    </xf>
    <xf numFmtId="49" fontId="1" fillId="841" borderId="2" xfId="0" applyNumberFormat="1" applyFont="1" applyFill="1" applyBorder="1" applyAlignment="1">
      <alignment horizontal="center" vertical="center"/>
    </xf>
    <xf numFmtId="49" fontId="1" fillId="842" borderId="2" xfId="0" applyNumberFormat="1" applyFont="1" applyFill="1" applyBorder="1" applyAlignment="1">
      <alignment horizontal="center" vertical="center"/>
    </xf>
    <xf numFmtId="49" fontId="1" fillId="843" borderId="2" xfId="0" applyNumberFormat="1" applyFont="1" applyFill="1" applyBorder="1" applyAlignment="1">
      <alignment horizontal="center" vertical="center"/>
    </xf>
    <xf numFmtId="49" fontId="1" fillId="844" borderId="2" xfId="0" applyNumberFormat="1" applyFont="1" applyFill="1" applyBorder="1" applyAlignment="1">
      <alignment horizontal="center" vertical="center"/>
    </xf>
    <xf numFmtId="49" fontId="1" fillId="845" borderId="2" xfId="0" applyNumberFormat="1" applyFont="1" applyFill="1" applyBorder="1" applyAlignment="1">
      <alignment horizontal="center" vertical="center"/>
    </xf>
    <xf numFmtId="0" fontId="1" fillId="846" borderId="2" xfId="0" applyFont="1" applyFill="1" applyBorder="1" applyAlignment="1">
      <alignment horizontal="center" vertical="center"/>
    </xf>
    <xf numFmtId="0" fontId="1" fillId="847" borderId="2" xfId="0" applyFont="1" applyFill="1" applyBorder="1" applyAlignment="1">
      <alignment horizontal="center" vertical="center"/>
    </xf>
    <xf numFmtId="49" fontId="1" fillId="848" borderId="2" xfId="0" applyNumberFormat="1" applyFont="1" applyFill="1" applyBorder="1" applyAlignment="1">
      <alignment horizontal="center" vertical="center"/>
    </xf>
    <xf numFmtId="49" fontId="1" fillId="849" borderId="2" xfId="0" applyNumberFormat="1" applyFont="1" applyFill="1" applyBorder="1" applyAlignment="1">
      <alignment horizontal="center" vertical="center"/>
    </xf>
    <xf numFmtId="49" fontId="1" fillId="850" borderId="2" xfId="0" applyNumberFormat="1" applyFont="1" applyFill="1" applyBorder="1" applyAlignment="1">
      <alignment horizontal="center" vertical="center"/>
    </xf>
    <xf numFmtId="49" fontId="1" fillId="851" borderId="2" xfId="0" applyNumberFormat="1" applyFont="1" applyFill="1" applyBorder="1" applyAlignment="1">
      <alignment horizontal="center" vertical="center"/>
    </xf>
    <xf numFmtId="49" fontId="1" fillId="852" borderId="2" xfId="0" applyNumberFormat="1" applyFont="1" applyFill="1" applyBorder="1" applyAlignment="1">
      <alignment horizontal="center" vertical="center"/>
    </xf>
    <xf numFmtId="49" fontId="1" fillId="853" borderId="2" xfId="0" applyNumberFormat="1" applyFont="1" applyFill="1" applyBorder="1" applyAlignment="1">
      <alignment horizontal="center" vertical="center"/>
    </xf>
    <xf numFmtId="49" fontId="1" fillId="854" borderId="2" xfId="0" applyNumberFormat="1" applyFont="1" applyFill="1" applyBorder="1" applyAlignment="1">
      <alignment horizontal="center" vertical="center"/>
    </xf>
    <xf numFmtId="49" fontId="1" fillId="855" borderId="2" xfId="0" applyNumberFormat="1" applyFont="1" applyFill="1" applyBorder="1" applyAlignment="1">
      <alignment horizontal="center" vertical="center"/>
    </xf>
    <xf numFmtId="0" fontId="1" fillId="856" borderId="2" xfId="0" applyFont="1" applyFill="1" applyBorder="1" applyAlignment="1">
      <alignment horizontal="center" vertical="center"/>
    </xf>
    <xf numFmtId="49" fontId="1" fillId="857" borderId="2" xfId="0" applyNumberFormat="1" applyFont="1" applyFill="1" applyBorder="1" applyAlignment="1">
      <alignment horizontal="center" vertical="center"/>
    </xf>
    <xf numFmtId="0" fontId="1" fillId="858" borderId="2" xfId="0" applyFont="1" applyFill="1" applyBorder="1" applyAlignment="1">
      <alignment horizontal="center" vertical="center"/>
    </xf>
    <xf numFmtId="0" fontId="1" fillId="859" borderId="2" xfId="0" applyFont="1" applyFill="1" applyBorder="1" applyAlignment="1">
      <alignment horizontal="center" vertical="center"/>
    </xf>
    <xf numFmtId="49" fontId="1" fillId="860" borderId="2" xfId="0" applyNumberFormat="1" applyFont="1" applyFill="1" applyBorder="1" applyAlignment="1">
      <alignment horizontal="center" vertical="center"/>
    </xf>
    <xf numFmtId="0" fontId="1" fillId="861" borderId="2" xfId="0" applyFont="1" applyFill="1" applyBorder="1" applyAlignment="1">
      <alignment horizontal="center" vertical="center"/>
    </xf>
    <xf numFmtId="49" fontId="1" fillId="862" borderId="2" xfId="0" applyNumberFormat="1" applyFont="1" applyFill="1" applyBorder="1" applyAlignment="1">
      <alignment horizontal="center" vertical="center"/>
    </xf>
    <xf numFmtId="0" fontId="1" fillId="863" borderId="2" xfId="0" applyFont="1" applyFill="1" applyBorder="1" applyAlignment="1">
      <alignment horizontal="center" vertical="center"/>
    </xf>
    <xf numFmtId="49" fontId="1" fillId="864" borderId="2" xfId="0" applyNumberFormat="1" applyFont="1" applyFill="1" applyBorder="1" applyAlignment="1">
      <alignment horizontal="center" vertical="center"/>
    </xf>
    <xf numFmtId="49" fontId="1" fillId="865" borderId="2" xfId="0" applyNumberFormat="1" applyFont="1" applyFill="1" applyBorder="1" applyAlignment="1">
      <alignment horizontal="center" vertical="center"/>
    </xf>
    <xf numFmtId="0" fontId="1" fillId="866" borderId="2" xfId="0" applyFont="1" applyFill="1" applyBorder="1" applyAlignment="1">
      <alignment horizontal="center" vertical="center"/>
    </xf>
    <xf numFmtId="49" fontId="1" fillId="867" borderId="2" xfId="0" applyNumberFormat="1" applyFont="1" applyFill="1" applyBorder="1" applyAlignment="1">
      <alignment horizontal="center" vertical="center"/>
    </xf>
    <xf numFmtId="0" fontId="1" fillId="868" borderId="2" xfId="0" applyFont="1" applyFill="1" applyBorder="1" applyAlignment="1">
      <alignment horizontal="center" vertical="center"/>
    </xf>
    <xf numFmtId="49" fontId="1" fillId="869" borderId="2" xfId="0" applyNumberFormat="1" applyFont="1" applyFill="1" applyBorder="1" applyAlignment="1">
      <alignment horizontal="center" vertical="center"/>
    </xf>
    <xf numFmtId="49" fontId="1" fillId="870" borderId="2" xfId="0" applyNumberFormat="1" applyFont="1" applyFill="1" applyBorder="1" applyAlignment="1">
      <alignment horizontal="center" vertical="center"/>
    </xf>
    <xf numFmtId="49" fontId="1" fillId="871" borderId="2" xfId="0" applyNumberFormat="1" applyFont="1" applyFill="1" applyBorder="1" applyAlignment="1">
      <alignment horizontal="center" vertical="center"/>
    </xf>
    <xf numFmtId="49" fontId="1" fillId="872" borderId="2" xfId="0" applyNumberFormat="1" applyFont="1" applyFill="1" applyBorder="1" applyAlignment="1">
      <alignment horizontal="center" vertical="center"/>
    </xf>
    <xf numFmtId="49" fontId="1" fillId="873" borderId="2" xfId="0" applyNumberFormat="1" applyFont="1" applyFill="1" applyBorder="1" applyAlignment="1">
      <alignment horizontal="center" vertical="center"/>
    </xf>
    <xf numFmtId="49" fontId="1" fillId="874" borderId="2" xfId="0" applyNumberFormat="1" applyFont="1" applyFill="1" applyBorder="1" applyAlignment="1">
      <alignment horizontal="center" vertical="center"/>
    </xf>
    <xf numFmtId="49" fontId="1" fillId="875" borderId="2" xfId="0" applyNumberFormat="1" applyFont="1" applyFill="1" applyBorder="1" applyAlignment="1">
      <alignment horizontal="center" vertical="center"/>
    </xf>
    <xf numFmtId="49" fontId="1" fillId="876" borderId="2" xfId="0" applyNumberFormat="1" applyFont="1" applyFill="1" applyBorder="1" applyAlignment="1">
      <alignment horizontal="center" vertical="center"/>
    </xf>
    <xf numFmtId="49" fontId="1" fillId="877" borderId="2" xfId="0" applyNumberFormat="1" applyFont="1" applyFill="1" applyBorder="1" applyAlignment="1">
      <alignment horizontal="center" vertical="center"/>
    </xf>
    <xf numFmtId="0" fontId="1" fillId="878" borderId="2" xfId="0" applyFont="1" applyFill="1" applyBorder="1" applyAlignment="1">
      <alignment horizontal="center" vertical="center"/>
    </xf>
    <xf numFmtId="0" fontId="1" fillId="879" borderId="2" xfId="0" applyFont="1" applyFill="1" applyBorder="1" applyAlignment="1">
      <alignment horizontal="center" vertical="center"/>
    </xf>
    <xf numFmtId="49" fontId="1" fillId="880" borderId="2" xfId="0" applyNumberFormat="1" applyFont="1" applyFill="1" applyBorder="1" applyAlignment="1">
      <alignment horizontal="center" vertical="center"/>
    </xf>
    <xf numFmtId="49" fontId="1" fillId="881" borderId="2" xfId="0" applyNumberFormat="1" applyFont="1" applyFill="1" applyBorder="1" applyAlignment="1">
      <alignment horizontal="center" vertical="center"/>
    </xf>
    <xf numFmtId="49" fontId="1" fillId="882" borderId="2" xfId="0" applyNumberFormat="1" applyFont="1" applyFill="1" applyBorder="1" applyAlignment="1">
      <alignment horizontal="center" vertical="center"/>
    </xf>
    <xf numFmtId="49" fontId="1" fillId="883" borderId="2" xfId="0" applyNumberFormat="1" applyFont="1" applyFill="1" applyBorder="1" applyAlignment="1">
      <alignment horizontal="center" vertical="center"/>
    </xf>
    <xf numFmtId="0" fontId="1" fillId="884" borderId="2" xfId="0" applyFont="1" applyFill="1" applyBorder="1" applyAlignment="1">
      <alignment horizontal="center" vertical="center"/>
    </xf>
    <xf numFmtId="49" fontId="1" fillId="885" borderId="2" xfId="0" applyNumberFormat="1" applyFont="1" applyFill="1" applyBorder="1" applyAlignment="1">
      <alignment horizontal="center" vertical="center"/>
    </xf>
    <xf numFmtId="49" fontId="1" fillId="886" borderId="2" xfId="0" applyNumberFormat="1" applyFont="1" applyFill="1" applyBorder="1" applyAlignment="1">
      <alignment horizontal="center" vertical="center"/>
    </xf>
    <xf numFmtId="49" fontId="1" fillId="887" borderId="2" xfId="0" applyNumberFormat="1" applyFont="1" applyFill="1" applyBorder="1" applyAlignment="1">
      <alignment horizontal="center" vertical="center"/>
    </xf>
    <xf numFmtId="49" fontId="1" fillId="888" borderId="2" xfId="0" applyNumberFormat="1" applyFont="1" applyFill="1" applyBorder="1" applyAlignment="1">
      <alignment horizontal="center" vertical="center"/>
    </xf>
    <xf numFmtId="49" fontId="1" fillId="889" borderId="2" xfId="0" applyNumberFormat="1" applyFont="1" applyFill="1" applyBorder="1" applyAlignment="1">
      <alignment horizontal="center" vertical="center"/>
    </xf>
    <xf numFmtId="49" fontId="1" fillId="890" borderId="2" xfId="0" applyNumberFormat="1" applyFont="1" applyFill="1" applyBorder="1" applyAlignment="1">
      <alignment horizontal="center" vertical="center"/>
    </xf>
    <xf numFmtId="49" fontId="1" fillId="891" borderId="2" xfId="0" applyNumberFormat="1" applyFont="1" applyFill="1" applyBorder="1" applyAlignment="1">
      <alignment horizontal="center" vertical="center"/>
    </xf>
    <xf numFmtId="49" fontId="1" fillId="892" borderId="2" xfId="0" applyNumberFormat="1" applyFont="1" applyFill="1" applyBorder="1" applyAlignment="1">
      <alignment horizontal="center" vertical="center"/>
    </xf>
    <xf numFmtId="0" fontId="1" fillId="893" borderId="2" xfId="0" applyFont="1" applyFill="1" applyBorder="1" applyAlignment="1">
      <alignment horizontal="center" vertical="center"/>
    </xf>
    <xf numFmtId="49" fontId="1" fillId="894" borderId="2" xfId="0" applyNumberFormat="1" applyFont="1" applyFill="1" applyBorder="1" applyAlignment="1">
      <alignment horizontal="center" vertical="center"/>
    </xf>
    <xf numFmtId="0" fontId="4" fillId="0" borderId="2" xfId="0" applyFont="1" applyBorder="1" applyAlignment="1">
      <alignment horizontal="center" vertical="center" wrapText="1"/>
    </xf>
    <xf numFmtId="49" fontId="1" fillId="895" borderId="2" xfId="0" applyNumberFormat="1" applyFont="1" applyFill="1" applyBorder="1" applyAlignment="1">
      <alignment horizontal="center" vertical="center"/>
    </xf>
    <xf numFmtId="49" fontId="1" fillId="896" borderId="2" xfId="0" applyNumberFormat="1" applyFont="1" applyFill="1" applyBorder="1" applyAlignment="1">
      <alignment horizontal="center" vertical="center"/>
    </xf>
    <xf numFmtId="0" fontId="10" fillId="6" borderId="2" xfId="0" applyFont="1" applyFill="1" applyBorder="1" applyAlignment="1">
      <alignment horizontal="center" vertical="center"/>
    </xf>
    <xf numFmtId="49" fontId="1" fillId="897" borderId="2" xfId="0" applyNumberFormat="1" applyFont="1" applyFill="1" applyBorder="1" applyAlignment="1">
      <alignment horizontal="center" vertical="center"/>
    </xf>
    <xf numFmtId="49" fontId="1" fillId="898" borderId="2" xfId="0" applyNumberFormat="1" applyFont="1" applyFill="1" applyBorder="1" applyAlignment="1">
      <alignment horizontal="center" vertical="center"/>
    </xf>
    <xf numFmtId="0" fontId="1" fillId="899" borderId="2" xfId="0" applyFont="1" applyFill="1" applyBorder="1" applyAlignment="1">
      <alignment horizontal="center" vertical="center"/>
    </xf>
    <xf numFmtId="0" fontId="11" fillId="0" borderId="2" xfId="0" applyFont="1" applyBorder="1" applyAlignment="1">
      <alignment horizontal="left" vertical="center" wrapText="1"/>
    </xf>
    <xf numFmtId="0" fontId="1" fillId="900" borderId="2" xfId="0" applyFont="1" applyFill="1" applyBorder="1" applyAlignment="1">
      <alignment horizontal="center" vertical="center"/>
    </xf>
    <xf numFmtId="49" fontId="1" fillId="901" borderId="2" xfId="0" applyNumberFormat="1" applyFont="1" applyFill="1" applyBorder="1" applyAlignment="1">
      <alignment horizontal="center" vertical="center"/>
    </xf>
    <xf numFmtId="49" fontId="1" fillId="902" borderId="2" xfId="0" applyNumberFormat="1" applyFont="1" applyFill="1" applyBorder="1" applyAlignment="1">
      <alignment horizontal="center" vertical="center"/>
    </xf>
    <xf numFmtId="49" fontId="1" fillId="903" borderId="2" xfId="0" applyNumberFormat="1" applyFont="1" applyFill="1" applyBorder="1" applyAlignment="1">
      <alignment horizontal="center" vertical="center"/>
    </xf>
    <xf numFmtId="49" fontId="1" fillId="904" borderId="2" xfId="0" applyNumberFormat="1" applyFont="1" applyFill="1" applyBorder="1" applyAlignment="1">
      <alignment horizontal="center" vertical="center"/>
    </xf>
    <xf numFmtId="49" fontId="1" fillId="905" borderId="2" xfId="0" applyNumberFormat="1" applyFont="1" applyFill="1" applyBorder="1" applyAlignment="1">
      <alignment horizontal="center" vertical="center"/>
    </xf>
    <xf numFmtId="49" fontId="1" fillId="906" borderId="2" xfId="0" applyNumberFormat="1" applyFont="1" applyFill="1" applyBorder="1" applyAlignment="1">
      <alignment horizontal="center" vertical="center"/>
    </xf>
    <xf numFmtId="0" fontId="1" fillId="907" borderId="2" xfId="0" applyFont="1" applyFill="1" applyBorder="1" applyAlignment="1">
      <alignment horizontal="center" vertical="center"/>
    </xf>
    <xf numFmtId="49" fontId="1" fillId="908" borderId="2" xfId="0" applyNumberFormat="1" applyFont="1" applyFill="1" applyBorder="1" applyAlignment="1">
      <alignment horizontal="center" vertical="center"/>
    </xf>
    <xf numFmtId="49" fontId="1" fillId="909" borderId="2" xfId="0" applyNumberFormat="1" applyFont="1" applyFill="1" applyBorder="1" applyAlignment="1">
      <alignment horizontal="center" vertical="center"/>
    </xf>
    <xf numFmtId="0" fontId="1" fillId="910" borderId="2" xfId="0" applyFont="1" applyFill="1" applyBorder="1" applyAlignment="1">
      <alignment horizontal="center" vertical="center"/>
    </xf>
    <xf numFmtId="49" fontId="1" fillId="911" borderId="2" xfId="0" applyNumberFormat="1" applyFont="1" applyFill="1" applyBorder="1" applyAlignment="1">
      <alignment horizontal="center" vertical="center"/>
    </xf>
    <xf numFmtId="0" fontId="1" fillId="912" borderId="2" xfId="0" applyFont="1" applyFill="1" applyBorder="1" applyAlignment="1">
      <alignment horizontal="center" vertical="center"/>
    </xf>
    <xf numFmtId="49" fontId="1" fillId="913" borderId="2" xfId="0" applyNumberFormat="1" applyFont="1" applyFill="1" applyBorder="1" applyAlignment="1">
      <alignment horizontal="center" vertical="center"/>
    </xf>
    <xf numFmtId="49" fontId="1" fillId="914" borderId="2" xfId="0" applyNumberFormat="1" applyFont="1" applyFill="1" applyBorder="1" applyAlignment="1">
      <alignment horizontal="center" vertical="center"/>
    </xf>
    <xf numFmtId="49" fontId="1" fillId="915" borderId="2" xfId="0" applyNumberFormat="1" applyFont="1" applyFill="1" applyBorder="1" applyAlignment="1">
      <alignment horizontal="center" vertical="center"/>
    </xf>
    <xf numFmtId="49" fontId="1" fillId="916" borderId="2" xfId="0" applyNumberFormat="1" applyFont="1" applyFill="1" applyBorder="1" applyAlignment="1">
      <alignment horizontal="center" vertical="center"/>
    </xf>
    <xf numFmtId="49" fontId="1" fillId="917" borderId="2" xfId="0" applyNumberFormat="1" applyFont="1" applyFill="1" applyBorder="1" applyAlignment="1">
      <alignment horizontal="center" vertical="center"/>
    </xf>
    <xf numFmtId="49" fontId="1" fillId="918" borderId="2" xfId="0" applyNumberFormat="1" applyFont="1" applyFill="1" applyBorder="1" applyAlignment="1">
      <alignment horizontal="center" vertical="center"/>
    </xf>
    <xf numFmtId="49" fontId="1" fillId="919" borderId="2" xfId="0" applyNumberFormat="1" applyFont="1" applyFill="1" applyBorder="1" applyAlignment="1">
      <alignment horizontal="center" vertical="center"/>
    </xf>
    <xf numFmtId="49" fontId="1" fillId="920" borderId="2" xfId="0" applyNumberFormat="1" applyFont="1" applyFill="1" applyBorder="1" applyAlignment="1">
      <alignment horizontal="center" vertical="center"/>
    </xf>
    <xf numFmtId="49" fontId="1" fillId="921" borderId="2" xfId="0" applyNumberFormat="1" applyFont="1" applyFill="1" applyBorder="1" applyAlignment="1">
      <alignment horizontal="center" vertical="center"/>
    </xf>
    <xf numFmtId="49" fontId="1" fillId="922" borderId="2" xfId="0" applyNumberFormat="1" applyFont="1" applyFill="1" applyBorder="1" applyAlignment="1">
      <alignment horizontal="center" vertical="center"/>
    </xf>
    <xf numFmtId="49" fontId="1" fillId="923" borderId="2" xfId="0" applyNumberFormat="1" applyFont="1" applyFill="1" applyBorder="1" applyAlignment="1">
      <alignment horizontal="center" vertical="center"/>
    </xf>
    <xf numFmtId="49" fontId="1" fillId="924" borderId="2" xfId="0" applyNumberFormat="1" applyFont="1" applyFill="1" applyBorder="1" applyAlignment="1">
      <alignment horizontal="center" vertical="center"/>
    </xf>
    <xf numFmtId="49" fontId="1" fillId="925" borderId="2" xfId="0" applyNumberFormat="1" applyFont="1" applyFill="1" applyBorder="1" applyAlignment="1">
      <alignment horizontal="center" vertical="center"/>
    </xf>
    <xf numFmtId="49" fontId="1" fillId="926" borderId="2" xfId="0" applyNumberFormat="1" applyFont="1" applyFill="1" applyBorder="1" applyAlignment="1">
      <alignment horizontal="center" vertical="center"/>
    </xf>
    <xf numFmtId="0" fontId="1" fillId="927" borderId="2" xfId="0" applyFont="1" applyFill="1" applyBorder="1" applyAlignment="1">
      <alignment horizontal="center" vertical="center"/>
    </xf>
    <xf numFmtId="49" fontId="1" fillId="928" borderId="2" xfId="0" applyNumberFormat="1" applyFont="1" applyFill="1" applyBorder="1" applyAlignment="1">
      <alignment horizontal="center" vertical="center"/>
    </xf>
    <xf numFmtId="49" fontId="1" fillId="929" borderId="2" xfId="0" applyNumberFormat="1" applyFont="1" applyFill="1" applyBorder="1" applyAlignment="1">
      <alignment horizontal="center" vertical="center"/>
    </xf>
    <xf numFmtId="49" fontId="1" fillId="930" borderId="2" xfId="0" applyNumberFormat="1" applyFont="1" applyFill="1" applyBorder="1" applyAlignment="1">
      <alignment horizontal="center" vertical="center"/>
    </xf>
    <xf numFmtId="0" fontId="1" fillId="931" borderId="2" xfId="0" applyFont="1" applyFill="1" applyBorder="1" applyAlignment="1">
      <alignment horizontal="center" vertical="center"/>
    </xf>
    <xf numFmtId="49" fontId="1" fillId="932" borderId="2" xfId="0" applyNumberFormat="1" applyFont="1" applyFill="1" applyBorder="1" applyAlignment="1">
      <alignment horizontal="center" vertical="center"/>
    </xf>
    <xf numFmtId="0" fontId="1" fillId="933" borderId="2" xfId="0" applyFont="1" applyFill="1" applyBorder="1" applyAlignment="1">
      <alignment horizontal="center" vertical="center"/>
    </xf>
    <xf numFmtId="0" fontId="1" fillId="934" borderId="2" xfId="0" applyFont="1" applyFill="1" applyBorder="1" applyAlignment="1">
      <alignment horizontal="center" vertical="center"/>
    </xf>
    <xf numFmtId="49" fontId="1" fillId="935" borderId="2" xfId="0" applyNumberFormat="1" applyFont="1" applyFill="1" applyBorder="1" applyAlignment="1">
      <alignment horizontal="center" vertical="center"/>
    </xf>
    <xf numFmtId="49" fontId="1" fillId="936" borderId="2" xfId="0" applyNumberFormat="1" applyFont="1" applyFill="1" applyBorder="1" applyAlignment="1">
      <alignment horizontal="center" vertical="center"/>
    </xf>
    <xf numFmtId="49" fontId="1" fillId="937" borderId="2" xfId="0" applyNumberFormat="1" applyFont="1" applyFill="1" applyBorder="1" applyAlignment="1">
      <alignment horizontal="center" vertical="center"/>
    </xf>
    <xf numFmtId="49" fontId="1" fillId="938" borderId="2" xfId="0" applyNumberFormat="1" applyFont="1" applyFill="1" applyBorder="1" applyAlignment="1">
      <alignment horizontal="center" vertical="center"/>
    </xf>
    <xf numFmtId="0" fontId="1" fillId="939" borderId="2" xfId="0" applyFont="1" applyFill="1" applyBorder="1" applyAlignment="1">
      <alignment horizontal="center" vertical="center"/>
    </xf>
    <xf numFmtId="0" fontId="1" fillId="940" borderId="2" xfId="0" applyFont="1" applyFill="1" applyBorder="1" applyAlignment="1">
      <alignment horizontal="center" vertical="center"/>
    </xf>
    <xf numFmtId="0" fontId="1" fillId="941" borderId="2" xfId="0" applyFont="1" applyFill="1" applyBorder="1" applyAlignment="1">
      <alignment horizontal="center" vertical="center"/>
    </xf>
    <xf numFmtId="0" fontId="1" fillId="942" borderId="2" xfId="0" applyFont="1" applyFill="1" applyBorder="1" applyAlignment="1">
      <alignment horizontal="center" vertical="center"/>
    </xf>
    <xf numFmtId="49" fontId="1" fillId="943" borderId="2" xfId="0" applyNumberFormat="1" applyFont="1" applyFill="1" applyBorder="1" applyAlignment="1">
      <alignment horizontal="center" vertical="center"/>
    </xf>
    <xf numFmtId="49" fontId="1" fillId="944" borderId="2" xfId="0" applyNumberFormat="1" applyFont="1" applyFill="1" applyBorder="1" applyAlignment="1">
      <alignment horizontal="center" vertical="center"/>
    </xf>
    <xf numFmtId="49" fontId="1" fillId="945" borderId="2" xfId="0" applyNumberFormat="1" applyFont="1" applyFill="1" applyBorder="1" applyAlignment="1">
      <alignment horizontal="center" vertical="center"/>
    </xf>
    <xf numFmtId="49" fontId="1" fillId="946" borderId="2" xfId="0" applyNumberFormat="1" applyFont="1" applyFill="1" applyBorder="1" applyAlignment="1">
      <alignment horizontal="center" vertical="center"/>
    </xf>
    <xf numFmtId="0" fontId="1" fillId="947" borderId="2" xfId="0" applyFont="1" applyFill="1" applyBorder="1" applyAlignment="1">
      <alignment horizontal="center" vertical="center"/>
    </xf>
    <xf numFmtId="0" fontId="12" fillId="948" borderId="2" xfId="0" applyFont="1" applyFill="1" applyBorder="1" applyAlignment="1">
      <alignment horizontal="center" vertical="center"/>
    </xf>
    <xf numFmtId="49" fontId="1" fillId="949" borderId="2" xfId="0" applyNumberFormat="1" applyFont="1" applyFill="1" applyBorder="1" applyAlignment="1">
      <alignment horizontal="center" vertical="center"/>
    </xf>
    <xf numFmtId="49" fontId="1" fillId="950" borderId="2" xfId="0" applyNumberFormat="1" applyFont="1" applyFill="1" applyBorder="1" applyAlignment="1">
      <alignment horizontal="center" vertical="center"/>
    </xf>
    <xf numFmtId="49" fontId="1" fillId="951" borderId="2" xfId="0" applyNumberFormat="1" applyFont="1" applyFill="1" applyBorder="1" applyAlignment="1">
      <alignment horizontal="center" vertical="center"/>
    </xf>
    <xf numFmtId="0" fontId="1" fillId="952" borderId="2" xfId="0" applyFont="1" applyFill="1" applyBorder="1" applyAlignment="1">
      <alignment horizontal="center" vertical="center"/>
    </xf>
    <xf numFmtId="49" fontId="1" fillId="953" borderId="2" xfId="0" applyNumberFormat="1" applyFont="1" applyFill="1" applyBorder="1" applyAlignment="1">
      <alignment horizontal="center" vertical="center"/>
    </xf>
    <xf numFmtId="49" fontId="1" fillId="954" borderId="2" xfId="0" applyNumberFormat="1" applyFont="1" applyFill="1" applyBorder="1" applyAlignment="1">
      <alignment horizontal="center" vertical="center"/>
    </xf>
    <xf numFmtId="0" fontId="5" fillId="0" borderId="2" xfId="0" applyFont="1" applyBorder="1" applyAlignment="1">
      <alignment horizontal="center" vertical="center" wrapText="1"/>
    </xf>
    <xf numFmtId="0" fontId="1" fillId="955" borderId="2" xfId="0" applyFont="1" applyFill="1" applyBorder="1" applyAlignment="1">
      <alignment horizontal="center" vertical="center"/>
    </xf>
    <xf numFmtId="0" fontId="1" fillId="956" borderId="2" xfId="0" applyFont="1" applyFill="1" applyBorder="1" applyAlignment="1">
      <alignment horizontal="center" vertical="center"/>
    </xf>
    <xf numFmtId="49" fontId="1" fillId="957" borderId="2" xfId="0" applyNumberFormat="1" applyFont="1" applyFill="1" applyBorder="1" applyAlignment="1">
      <alignment horizontal="center" vertical="center"/>
    </xf>
    <xf numFmtId="49" fontId="1" fillId="958" borderId="2" xfId="0" applyNumberFormat="1" applyFont="1" applyFill="1" applyBorder="1" applyAlignment="1">
      <alignment horizontal="center" vertical="center"/>
    </xf>
    <xf numFmtId="49" fontId="1" fillId="959" borderId="2" xfId="0" applyNumberFormat="1" applyFont="1" applyFill="1" applyBorder="1" applyAlignment="1">
      <alignment horizontal="center" vertical="center"/>
    </xf>
    <xf numFmtId="49" fontId="1" fillId="960" borderId="2" xfId="0" applyNumberFormat="1" applyFont="1" applyFill="1" applyBorder="1" applyAlignment="1">
      <alignment horizontal="center" vertical="center"/>
    </xf>
    <xf numFmtId="0" fontId="1" fillId="961" borderId="2" xfId="0" applyFont="1" applyFill="1" applyBorder="1" applyAlignment="1">
      <alignment horizontal="center" vertical="center"/>
    </xf>
    <xf numFmtId="49" fontId="1" fillId="962" borderId="2" xfId="0" applyNumberFormat="1" applyFont="1" applyFill="1" applyBorder="1" applyAlignment="1">
      <alignment horizontal="center" vertical="center"/>
    </xf>
    <xf numFmtId="0" fontId="1" fillId="963" borderId="2" xfId="0" applyFont="1" applyFill="1" applyBorder="1" applyAlignment="1">
      <alignment horizontal="center" vertical="center"/>
    </xf>
    <xf numFmtId="49" fontId="1" fillId="964" borderId="2" xfId="0" applyNumberFormat="1" applyFont="1" applyFill="1" applyBorder="1" applyAlignment="1">
      <alignment horizontal="center" vertical="center"/>
    </xf>
    <xf numFmtId="49" fontId="1" fillId="965" borderId="2" xfId="0" applyNumberFormat="1" applyFont="1" applyFill="1" applyBorder="1" applyAlignment="1">
      <alignment horizontal="center" vertical="center"/>
    </xf>
    <xf numFmtId="0" fontId="1" fillId="966" borderId="2" xfId="0" applyFont="1" applyFill="1" applyBorder="1" applyAlignment="1">
      <alignment horizontal="center" vertical="center"/>
    </xf>
    <xf numFmtId="0" fontId="1" fillId="967" borderId="2" xfId="0" applyFont="1" applyFill="1" applyBorder="1" applyAlignment="1">
      <alignment horizontal="center" vertical="center"/>
    </xf>
    <xf numFmtId="49" fontId="1" fillId="968" borderId="2" xfId="0" applyNumberFormat="1" applyFont="1" applyFill="1" applyBorder="1" applyAlignment="1">
      <alignment horizontal="center" vertical="center"/>
    </xf>
    <xf numFmtId="0" fontId="1" fillId="969" borderId="2" xfId="0" applyFont="1" applyFill="1" applyBorder="1" applyAlignment="1">
      <alignment horizontal="center" vertical="center"/>
    </xf>
    <xf numFmtId="0" fontId="1" fillId="968" borderId="2" xfId="0" applyFont="1" applyFill="1" applyBorder="1" applyAlignment="1">
      <alignment horizontal="center" vertical="center"/>
    </xf>
    <xf numFmtId="0" fontId="1" fillId="970" borderId="2" xfId="0" applyFont="1" applyFill="1" applyBorder="1" applyAlignment="1">
      <alignment horizontal="center" vertical="center"/>
    </xf>
    <xf numFmtId="0" fontId="1" fillId="971" borderId="2" xfId="0" applyFont="1" applyFill="1" applyBorder="1" applyAlignment="1">
      <alignment horizontal="center" vertical="center"/>
    </xf>
    <xf numFmtId="49" fontId="1" fillId="972" borderId="2" xfId="0" applyNumberFormat="1" applyFont="1" applyFill="1" applyBorder="1" applyAlignment="1">
      <alignment horizontal="center" vertical="center"/>
    </xf>
    <xf numFmtId="0" fontId="1" fillId="973" borderId="2" xfId="0" applyFont="1" applyFill="1" applyBorder="1" applyAlignment="1">
      <alignment horizontal="center" vertical="center"/>
    </xf>
    <xf numFmtId="0" fontId="1" fillId="974" borderId="2" xfId="0" applyFont="1" applyFill="1" applyBorder="1" applyAlignment="1">
      <alignment horizontal="center" vertical="center"/>
    </xf>
    <xf numFmtId="49" fontId="1" fillId="975" borderId="2" xfId="0" applyNumberFormat="1" applyFont="1" applyFill="1" applyBorder="1" applyAlignment="1">
      <alignment horizontal="center" vertical="center"/>
    </xf>
    <xf numFmtId="0" fontId="1" fillId="976" borderId="2" xfId="0" applyFont="1" applyFill="1" applyBorder="1" applyAlignment="1">
      <alignment horizontal="center" vertical="center"/>
    </xf>
    <xf numFmtId="0" fontId="1" fillId="977" borderId="2" xfId="0" applyFont="1" applyFill="1" applyBorder="1" applyAlignment="1">
      <alignment horizontal="center" vertical="center"/>
    </xf>
    <xf numFmtId="49" fontId="1" fillId="978" borderId="2" xfId="0" applyNumberFormat="1" applyFont="1" applyFill="1" applyBorder="1" applyAlignment="1">
      <alignment horizontal="center" vertical="center"/>
    </xf>
    <xf numFmtId="0" fontId="1" fillId="979" borderId="2" xfId="0" applyFont="1" applyFill="1" applyBorder="1" applyAlignment="1">
      <alignment horizontal="center" vertical="center"/>
    </xf>
    <xf numFmtId="0" fontId="1" fillId="980" borderId="2" xfId="0" applyFont="1" applyFill="1" applyBorder="1" applyAlignment="1">
      <alignment horizontal="center" vertical="center"/>
    </xf>
    <xf numFmtId="49" fontId="1" fillId="981" borderId="2" xfId="0" applyNumberFormat="1" applyFont="1" applyFill="1" applyBorder="1" applyAlignment="1">
      <alignment horizontal="center" vertical="center"/>
    </xf>
    <xf numFmtId="0" fontId="1" fillId="982" borderId="2" xfId="0" applyFont="1" applyFill="1" applyBorder="1" applyAlignment="1">
      <alignment horizontal="center" vertical="center"/>
    </xf>
    <xf numFmtId="49" fontId="1" fillId="983" borderId="2" xfId="0" applyNumberFormat="1" applyFont="1" applyFill="1" applyBorder="1" applyAlignment="1">
      <alignment horizontal="center" vertical="center"/>
    </xf>
    <xf numFmtId="0" fontId="1" fillId="984" borderId="2" xfId="0" applyFont="1" applyFill="1" applyBorder="1" applyAlignment="1">
      <alignment horizontal="center" vertical="center"/>
    </xf>
    <xf numFmtId="0" fontId="1" fillId="985" borderId="2" xfId="0" applyFont="1" applyFill="1" applyBorder="1" applyAlignment="1">
      <alignment horizontal="center" vertical="center"/>
    </xf>
    <xf numFmtId="49" fontId="1" fillId="986" borderId="2" xfId="0" applyNumberFormat="1" applyFont="1" applyFill="1" applyBorder="1" applyAlignment="1">
      <alignment horizontal="center" vertical="center"/>
    </xf>
    <xf numFmtId="0" fontId="1" fillId="987" borderId="2" xfId="0" applyFont="1" applyFill="1" applyBorder="1" applyAlignment="1">
      <alignment horizontal="center" vertical="center"/>
    </xf>
    <xf numFmtId="0" fontId="1" fillId="988" borderId="2" xfId="0" applyFont="1" applyFill="1" applyBorder="1" applyAlignment="1">
      <alignment horizontal="center" vertical="center"/>
    </xf>
    <xf numFmtId="0" fontId="1" fillId="989" borderId="1" xfId="0" applyFont="1" applyFill="1" applyBorder="1" applyAlignment="1">
      <alignment horizontal="center" vertical="center"/>
    </xf>
    <xf numFmtId="49" fontId="1" fillId="990" borderId="1" xfId="0" applyNumberFormat="1" applyFont="1" applyFill="1" applyBorder="1" applyAlignment="1">
      <alignment horizontal="center" vertical="center"/>
    </xf>
    <xf numFmtId="49" fontId="1" fillId="991" borderId="1" xfId="0" applyNumberFormat="1" applyFont="1" applyFill="1" applyBorder="1" applyAlignment="1">
      <alignment horizontal="center" vertical="center"/>
    </xf>
    <xf numFmtId="49" fontId="1" fillId="992" borderId="1" xfId="0" applyNumberFormat="1" applyFont="1" applyFill="1" applyBorder="1" applyAlignment="1">
      <alignment horizontal="center" vertical="center"/>
    </xf>
    <xf numFmtId="0" fontId="1" fillId="993" borderId="1" xfId="0" applyFont="1" applyFill="1" applyBorder="1" applyAlignment="1">
      <alignment horizontal="center" vertical="center"/>
    </xf>
    <xf numFmtId="49" fontId="1" fillId="994" borderId="1" xfId="0" applyNumberFormat="1" applyFont="1" applyFill="1" applyBorder="1" applyAlignment="1">
      <alignment horizontal="center" vertical="center"/>
    </xf>
    <xf numFmtId="0" fontId="1" fillId="995" borderId="1" xfId="0" applyFont="1" applyFill="1" applyBorder="1" applyAlignment="1">
      <alignment horizontal="center" vertical="center"/>
    </xf>
    <xf numFmtId="49" fontId="1" fillId="996" borderId="1" xfId="0" applyNumberFormat="1" applyFont="1" applyFill="1" applyBorder="1" applyAlignment="1">
      <alignment horizontal="center" vertical="center"/>
    </xf>
    <xf numFmtId="49" fontId="1" fillId="997" borderId="1" xfId="0" applyNumberFormat="1" applyFont="1" applyFill="1" applyBorder="1" applyAlignment="1">
      <alignment horizontal="center" vertical="center"/>
    </xf>
    <xf numFmtId="0" fontId="1" fillId="998" borderId="1" xfId="0" applyFont="1" applyFill="1" applyBorder="1" applyAlignment="1">
      <alignment horizontal="center" vertical="center"/>
    </xf>
    <xf numFmtId="49" fontId="1" fillId="999" borderId="1" xfId="0" applyNumberFormat="1" applyFont="1" applyFill="1" applyBorder="1" applyAlignment="1">
      <alignment horizontal="center" vertical="center"/>
    </xf>
    <xf numFmtId="0" fontId="1" fillId="1000" borderId="1" xfId="0" applyFont="1" applyFill="1" applyBorder="1" applyAlignment="1">
      <alignment horizontal="center" vertical="center"/>
    </xf>
    <xf numFmtId="49" fontId="1" fillId="1001" borderId="1" xfId="0" applyNumberFormat="1" applyFont="1" applyFill="1" applyBorder="1" applyAlignment="1">
      <alignment horizontal="center" vertical="center"/>
    </xf>
    <xf numFmtId="49" fontId="1" fillId="1002" borderId="1" xfId="0" applyNumberFormat="1" applyFont="1" applyFill="1" applyBorder="1" applyAlignment="1">
      <alignment horizontal="center" vertical="center"/>
    </xf>
    <xf numFmtId="49" fontId="1" fillId="1003" borderId="1" xfId="0" applyNumberFormat="1" applyFont="1" applyFill="1" applyBorder="1" applyAlignment="1">
      <alignment horizontal="center" vertical="center"/>
    </xf>
    <xf numFmtId="0" fontId="1" fillId="1004" borderId="1" xfId="0" applyFont="1" applyFill="1" applyBorder="1" applyAlignment="1">
      <alignment horizontal="center" vertical="center"/>
    </xf>
    <xf numFmtId="0" fontId="1" fillId="1005" borderId="1" xfId="0" applyFont="1" applyFill="1" applyBorder="1" applyAlignment="1">
      <alignment horizontal="center" vertical="center"/>
    </xf>
    <xf numFmtId="0" fontId="1" fillId="1006" borderId="1" xfId="0" applyFont="1" applyFill="1" applyBorder="1" applyAlignment="1">
      <alignment horizontal="center" vertical="center"/>
    </xf>
    <xf numFmtId="49" fontId="1" fillId="1007" borderId="1" xfId="0" applyNumberFormat="1" applyFont="1" applyFill="1" applyBorder="1" applyAlignment="1">
      <alignment horizontal="center" vertical="center"/>
    </xf>
    <xf numFmtId="0" fontId="1" fillId="1008" borderId="1" xfId="0" applyFont="1" applyFill="1" applyBorder="1" applyAlignment="1">
      <alignment horizontal="center" vertical="center"/>
    </xf>
    <xf numFmtId="0" fontId="1" fillId="1009" borderId="1" xfId="0" applyFont="1" applyFill="1" applyBorder="1" applyAlignment="1">
      <alignment horizontal="center" vertical="center"/>
    </xf>
    <xf numFmtId="0" fontId="1" fillId="1010" borderId="1" xfId="0" applyFont="1" applyFill="1" applyBorder="1" applyAlignment="1">
      <alignment horizontal="center" vertical="center"/>
    </xf>
    <xf numFmtId="49" fontId="1" fillId="1011" borderId="1" xfId="0" applyNumberFormat="1" applyFont="1" applyFill="1" applyBorder="1" applyAlignment="1">
      <alignment horizontal="center" vertical="center"/>
    </xf>
    <xf numFmtId="49" fontId="1" fillId="1012" borderId="1" xfId="0" applyNumberFormat="1" applyFont="1" applyFill="1" applyBorder="1" applyAlignment="1">
      <alignment horizontal="center" vertical="center"/>
    </xf>
    <xf numFmtId="49" fontId="1" fillId="1013" borderId="1" xfId="0" applyNumberFormat="1" applyFont="1" applyFill="1" applyBorder="1" applyAlignment="1">
      <alignment horizontal="center" vertical="center"/>
    </xf>
    <xf numFmtId="49" fontId="1" fillId="1014" borderId="1" xfId="0" applyNumberFormat="1" applyFont="1" applyFill="1" applyBorder="1" applyAlignment="1">
      <alignment horizontal="center" vertical="center"/>
    </xf>
    <xf numFmtId="49" fontId="1" fillId="1015" borderId="1" xfId="0" applyNumberFormat="1" applyFont="1" applyFill="1" applyBorder="1" applyAlignment="1">
      <alignment horizontal="center" vertical="center"/>
    </xf>
    <xf numFmtId="0" fontId="1" fillId="1016" borderId="1" xfId="0" applyFont="1" applyFill="1" applyBorder="1" applyAlignment="1">
      <alignment horizontal="center" vertical="center"/>
    </xf>
    <xf numFmtId="0" fontId="1" fillId="1017" borderId="1" xfId="0" applyFont="1" applyFill="1" applyBorder="1" applyAlignment="1">
      <alignment horizontal="center" vertical="center"/>
    </xf>
    <xf numFmtId="49" fontId="1" fillId="1018" borderId="1" xfId="0" applyNumberFormat="1" applyFont="1" applyFill="1" applyBorder="1" applyAlignment="1">
      <alignment horizontal="center" vertical="center"/>
    </xf>
    <xf numFmtId="49" fontId="1" fillId="1019" borderId="1" xfId="0" applyNumberFormat="1" applyFont="1" applyFill="1" applyBorder="1" applyAlignment="1">
      <alignment horizontal="center" vertical="center"/>
    </xf>
    <xf numFmtId="0" fontId="1" fillId="1020" borderId="1" xfId="0" applyFont="1" applyFill="1" applyBorder="1" applyAlignment="1">
      <alignment horizontal="center" vertical="center"/>
    </xf>
    <xf numFmtId="0" fontId="1" fillId="1021" borderId="1" xfId="0" applyFont="1" applyFill="1" applyBorder="1" applyAlignment="1">
      <alignment horizontal="center" vertical="center"/>
    </xf>
    <xf numFmtId="49" fontId="1" fillId="1022" borderId="1" xfId="0" applyNumberFormat="1" applyFont="1" applyFill="1" applyBorder="1" applyAlignment="1">
      <alignment horizontal="center" vertical="center"/>
    </xf>
    <xf numFmtId="49" fontId="1" fillId="1023" borderId="1" xfId="0" applyNumberFormat="1" applyFont="1" applyFill="1" applyBorder="1" applyAlignment="1">
      <alignment horizontal="center" vertical="center"/>
    </xf>
    <xf numFmtId="0" fontId="1" fillId="1024" borderId="1" xfId="0" applyFont="1" applyFill="1" applyBorder="1" applyAlignment="1">
      <alignment horizontal="center" vertical="center"/>
    </xf>
    <xf numFmtId="0" fontId="1" fillId="1025" borderId="1" xfId="0" applyFont="1" applyFill="1" applyBorder="1" applyAlignment="1">
      <alignment horizontal="center" vertical="center"/>
    </xf>
    <xf numFmtId="49" fontId="1" fillId="1026" borderId="1" xfId="0" applyNumberFormat="1" applyFont="1" applyFill="1" applyBorder="1" applyAlignment="1">
      <alignment horizontal="center" vertical="center"/>
    </xf>
    <xf numFmtId="49" fontId="1" fillId="1027" borderId="1" xfId="0" applyNumberFormat="1" applyFont="1" applyFill="1" applyBorder="1" applyAlignment="1">
      <alignment horizontal="center" vertical="center"/>
    </xf>
    <xf numFmtId="0" fontId="1" fillId="1028" borderId="1" xfId="0" applyFont="1" applyFill="1" applyBorder="1" applyAlignment="1">
      <alignment horizontal="center" vertical="center"/>
    </xf>
    <xf numFmtId="49" fontId="1" fillId="1029" borderId="1" xfId="0" applyNumberFormat="1" applyFont="1" applyFill="1" applyBorder="1" applyAlignment="1">
      <alignment horizontal="center" vertical="center"/>
    </xf>
    <xf numFmtId="49" fontId="1" fillId="1030" borderId="1" xfId="0" applyNumberFormat="1" applyFont="1" applyFill="1" applyBorder="1" applyAlignment="1">
      <alignment horizontal="center" vertical="center"/>
    </xf>
    <xf numFmtId="0" fontId="1" fillId="1031" borderId="1" xfId="0" applyFont="1" applyFill="1" applyBorder="1" applyAlignment="1">
      <alignment horizontal="center" vertical="center"/>
    </xf>
    <xf numFmtId="49" fontId="1" fillId="1032" borderId="1" xfId="0" applyNumberFormat="1" applyFont="1" applyFill="1" applyBorder="1" applyAlignment="1">
      <alignment horizontal="center" vertical="center"/>
    </xf>
    <xf numFmtId="49" fontId="1" fillId="1033" borderId="1" xfId="0" applyNumberFormat="1" applyFont="1" applyFill="1" applyBorder="1" applyAlignment="1">
      <alignment horizontal="center" vertical="center"/>
    </xf>
    <xf numFmtId="0" fontId="1" fillId="1034" borderId="1" xfId="0" applyFont="1" applyFill="1" applyBorder="1" applyAlignment="1">
      <alignment horizontal="center" vertical="center"/>
    </xf>
    <xf numFmtId="49" fontId="1" fillId="1035" borderId="1" xfId="0" applyNumberFormat="1" applyFont="1" applyFill="1" applyBorder="1" applyAlignment="1">
      <alignment horizontal="center" vertical="center"/>
    </xf>
    <xf numFmtId="49" fontId="1" fillId="1036" borderId="1" xfId="0" applyNumberFormat="1" applyFont="1" applyFill="1" applyBorder="1" applyAlignment="1">
      <alignment horizontal="center" vertical="center"/>
    </xf>
    <xf numFmtId="49" fontId="1" fillId="1037" borderId="1" xfId="0" applyNumberFormat="1" applyFont="1" applyFill="1" applyBorder="1" applyAlignment="1">
      <alignment horizontal="center" vertical="center"/>
    </xf>
    <xf numFmtId="49" fontId="1" fillId="1038" borderId="1" xfId="0" applyNumberFormat="1" applyFont="1" applyFill="1" applyBorder="1" applyAlignment="1">
      <alignment horizontal="center" vertical="center"/>
    </xf>
    <xf numFmtId="49" fontId="1" fillId="1039" borderId="1" xfId="0" applyNumberFormat="1" applyFont="1" applyFill="1" applyBorder="1" applyAlignment="1">
      <alignment horizontal="center" vertical="center"/>
    </xf>
    <xf numFmtId="49" fontId="1" fillId="1040" borderId="1" xfId="0" applyNumberFormat="1" applyFont="1" applyFill="1" applyBorder="1" applyAlignment="1">
      <alignment horizontal="center" vertical="center"/>
    </xf>
    <xf numFmtId="49" fontId="1" fillId="1041" borderId="1" xfId="0" applyNumberFormat="1" applyFont="1" applyFill="1" applyBorder="1" applyAlignment="1">
      <alignment horizontal="center" vertical="center"/>
    </xf>
    <xf numFmtId="49" fontId="1" fillId="1042" borderId="1" xfId="0" applyNumberFormat="1" applyFont="1" applyFill="1" applyBorder="1" applyAlignment="1">
      <alignment horizontal="center" vertical="center"/>
    </xf>
    <xf numFmtId="49" fontId="1" fillId="1043" borderId="1" xfId="0" applyNumberFormat="1" applyFont="1" applyFill="1" applyBorder="1" applyAlignment="1">
      <alignment horizontal="center" vertical="center"/>
    </xf>
    <xf numFmtId="49" fontId="1" fillId="1044" borderId="1" xfId="0" applyNumberFormat="1" applyFont="1" applyFill="1" applyBorder="1" applyAlignment="1">
      <alignment horizontal="center" vertical="center"/>
    </xf>
    <xf numFmtId="49" fontId="1" fillId="1045" borderId="1" xfId="0" applyNumberFormat="1" applyFont="1" applyFill="1" applyBorder="1" applyAlignment="1">
      <alignment horizontal="center" vertical="center"/>
    </xf>
    <xf numFmtId="49" fontId="1" fillId="1046" borderId="1" xfId="0" applyNumberFormat="1" applyFont="1" applyFill="1" applyBorder="1" applyAlignment="1">
      <alignment horizontal="center" vertical="center"/>
    </xf>
    <xf numFmtId="49" fontId="1" fillId="1047" borderId="1" xfId="0" applyNumberFormat="1" applyFont="1" applyFill="1" applyBorder="1" applyAlignment="1">
      <alignment horizontal="center" vertical="center"/>
    </xf>
    <xf numFmtId="49" fontId="1" fillId="1048" borderId="1" xfId="0" applyNumberFormat="1" applyFont="1" applyFill="1" applyBorder="1" applyAlignment="1">
      <alignment horizontal="center" vertical="center"/>
    </xf>
    <xf numFmtId="49" fontId="1" fillId="1049" borderId="1" xfId="0" applyNumberFormat="1" applyFont="1" applyFill="1" applyBorder="1" applyAlignment="1">
      <alignment horizontal="center" vertical="center"/>
    </xf>
    <xf numFmtId="49" fontId="1" fillId="1050" borderId="1" xfId="0" applyNumberFormat="1" applyFont="1" applyFill="1" applyBorder="1" applyAlignment="1">
      <alignment horizontal="center" vertical="center"/>
    </xf>
    <xf numFmtId="0" fontId="1" fillId="1051" borderId="1" xfId="0" applyFont="1" applyFill="1" applyBorder="1" applyAlignment="1">
      <alignment horizontal="center" vertical="center"/>
    </xf>
    <xf numFmtId="49" fontId="1" fillId="1052" borderId="1" xfId="0" applyNumberFormat="1" applyFont="1" applyFill="1" applyBorder="1" applyAlignment="1">
      <alignment horizontal="center" vertical="center"/>
    </xf>
    <xf numFmtId="0" fontId="1" fillId="1053" borderId="1" xfId="0" applyFont="1" applyFill="1" applyBorder="1" applyAlignment="1">
      <alignment horizontal="center" vertical="center"/>
    </xf>
    <xf numFmtId="49" fontId="1" fillId="1054" borderId="1" xfId="0" applyNumberFormat="1" applyFont="1" applyFill="1" applyBorder="1" applyAlignment="1">
      <alignment horizontal="center" vertical="center"/>
    </xf>
    <xf numFmtId="49" fontId="1" fillId="1055" borderId="1" xfId="0" applyNumberFormat="1" applyFont="1" applyFill="1" applyBorder="1" applyAlignment="1">
      <alignment horizontal="center" vertical="center"/>
    </xf>
    <xf numFmtId="0" fontId="1" fillId="1056" borderId="1" xfId="0" applyFont="1" applyFill="1" applyBorder="1" applyAlignment="1">
      <alignment horizontal="center" vertical="center"/>
    </xf>
    <xf numFmtId="0" fontId="1" fillId="1057" borderId="1" xfId="0" applyFont="1" applyFill="1" applyBorder="1" applyAlignment="1">
      <alignment horizontal="center" vertical="center"/>
    </xf>
    <xf numFmtId="49" fontId="1" fillId="1058" borderId="1" xfId="0" applyNumberFormat="1" applyFont="1" applyFill="1" applyBorder="1" applyAlignment="1">
      <alignment horizontal="center" vertical="center"/>
    </xf>
    <xf numFmtId="0" fontId="1" fillId="1059" borderId="1" xfId="0" applyFont="1" applyFill="1" applyBorder="1" applyAlignment="1">
      <alignment horizontal="center" vertical="center"/>
    </xf>
    <xf numFmtId="0" fontId="1" fillId="1060" borderId="1" xfId="0" applyFont="1" applyFill="1" applyBorder="1" applyAlignment="1">
      <alignment horizontal="center" vertical="center"/>
    </xf>
    <xf numFmtId="0" fontId="13" fillId="0" borderId="1" xfId="0" applyFont="1" applyBorder="1" applyAlignment="1">
      <alignment horizontal="center" wrapText="1"/>
    </xf>
    <xf numFmtId="0" fontId="1" fillId="1061" borderId="1" xfId="0" applyFont="1" applyFill="1" applyBorder="1" applyAlignment="1">
      <alignment horizontal="center" vertical="center"/>
    </xf>
    <xf numFmtId="0" fontId="1" fillId="1062" borderId="1" xfId="0" applyFont="1" applyFill="1" applyBorder="1" applyAlignment="1">
      <alignment horizontal="center" vertical="center"/>
    </xf>
    <xf numFmtId="49" fontId="1" fillId="1063" borderId="1" xfId="0" applyNumberFormat="1" applyFont="1" applyFill="1" applyBorder="1" applyAlignment="1">
      <alignment horizontal="center" vertical="center"/>
    </xf>
    <xf numFmtId="49" fontId="1" fillId="1064" borderId="1" xfId="0" applyNumberFormat="1" applyFont="1" applyFill="1" applyBorder="1" applyAlignment="1">
      <alignment horizontal="center" vertical="center"/>
    </xf>
    <xf numFmtId="49" fontId="1" fillId="1065" borderId="1" xfId="0" applyNumberFormat="1" applyFont="1" applyFill="1" applyBorder="1" applyAlignment="1">
      <alignment horizontal="center" vertical="center"/>
    </xf>
    <xf numFmtId="0" fontId="1" fillId="1066" borderId="1" xfId="0" applyFont="1" applyFill="1" applyBorder="1" applyAlignment="1">
      <alignment horizontal="center" vertical="center"/>
    </xf>
    <xf numFmtId="0" fontId="1" fillId="1067" borderId="1" xfId="0" applyFont="1" applyFill="1" applyBorder="1" applyAlignment="1">
      <alignment horizontal="center" vertical="center"/>
    </xf>
    <xf numFmtId="49" fontId="1" fillId="1068" borderId="1" xfId="0" applyNumberFormat="1" applyFont="1" applyFill="1" applyBorder="1" applyAlignment="1">
      <alignment horizontal="center" vertical="center"/>
    </xf>
    <xf numFmtId="0" fontId="1" fillId="1069" borderId="1" xfId="0" applyFont="1" applyFill="1" applyBorder="1" applyAlignment="1">
      <alignment horizontal="center" vertical="center"/>
    </xf>
    <xf numFmtId="0" fontId="1" fillId="1070" borderId="1" xfId="0" applyFont="1" applyFill="1" applyBorder="1" applyAlignment="1">
      <alignment horizontal="center" vertical="center"/>
    </xf>
    <xf numFmtId="0" fontId="1" fillId="1071" borderId="1" xfId="0" applyFont="1" applyFill="1" applyBorder="1" applyAlignment="1">
      <alignment horizontal="center" vertical="center"/>
    </xf>
    <xf numFmtId="49" fontId="1" fillId="1072" borderId="1" xfId="0" applyNumberFormat="1" applyFont="1" applyFill="1" applyBorder="1" applyAlignment="1">
      <alignment horizontal="center" vertical="center"/>
    </xf>
    <xf numFmtId="0" fontId="1" fillId="1073" borderId="1" xfId="0" applyFont="1" applyFill="1" applyBorder="1" applyAlignment="1">
      <alignment horizontal="center" vertical="center"/>
    </xf>
    <xf numFmtId="0" fontId="1" fillId="1074" borderId="1" xfId="0" applyFont="1" applyFill="1" applyBorder="1" applyAlignment="1">
      <alignment horizontal="center" vertical="center"/>
    </xf>
    <xf numFmtId="0" fontId="1" fillId="1075" borderId="1" xfId="0" applyFont="1" applyFill="1" applyBorder="1" applyAlignment="1">
      <alignment horizontal="center" vertical="center"/>
    </xf>
    <xf numFmtId="49" fontId="1" fillId="1076" borderId="1" xfId="0" applyNumberFormat="1" applyFont="1" applyFill="1" applyBorder="1" applyAlignment="1">
      <alignment horizontal="center" vertical="center"/>
    </xf>
    <xf numFmtId="49" fontId="1" fillId="1077" borderId="1" xfId="0" applyNumberFormat="1" applyFont="1" applyFill="1" applyBorder="1" applyAlignment="1">
      <alignment horizontal="center" vertical="center"/>
    </xf>
    <xf numFmtId="49" fontId="1" fillId="1078" borderId="1" xfId="0" applyNumberFormat="1" applyFont="1" applyFill="1" applyBorder="1" applyAlignment="1">
      <alignment horizontal="center" vertical="center"/>
    </xf>
    <xf numFmtId="49" fontId="1" fillId="1079" borderId="1" xfId="0" applyNumberFormat="1" applyFont="1" applyFill="1" applyBorder="1" applyAlignment="1">
      <alignment horizontal="center" vertical="center"/>
    </xf>
    <xf numFmtId="49" fontId="1" fillId="1080" borderId="1" xfId="0" applyNumberFormat="1" applyFont="1" applyFill="1" applyBorder="1" applyAlignment="1">
      <alignment horizontal="center" vertical="center"/>
    </xf>
    <xf numFmtId="49" fontId="1" fillId="1081" borderId="1" xfId="0" applyNumberFormat="1" applyFont="1" applyFill="1" applyBorder="1" applyAlignment="1">
      <alignment horizontal="center" vertical="center"/>
    </xf>
    <xf numFmtId="49" fontId="1" fillId="1082"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3B5554"/>
      <color rgb="00252A3A"/>
      <color rgb="00584019"/>
      <color rgb="002C2321"/>
      <color rgb="00100011"/>
      <color rgb="009FA0A0"/>
      <color rgb="00FDFCF3"/>
      <color rgb="00FFFFFB"/>
      <color rgb="00FFFBE7"/>
      <color rgb="00B975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2.jpeg"/><Relationship Id="rId3" Type="http://schemas.openxmlformats.org/officeDocument/2006/relationships/hyperlink" Target="../OneDrive/&#25991;&#26723;/&#36164;&#26009;/&#20070;&#31821;&#23384;&#26723;/&#20013;&#22269;&#20256;&#32479;&#33394;/&#26494;&#33457;.jpg" TargetMode="External"/><Relationship Id="rId2" Type="http://schemas.openxmlformats.org/officeDocument/2006/relationships/image" Target="../media/image1.jpeg"/><Relationship Id="rId1" Type="http://schemas.openxmlformats.org/officeDocument/2006/relationships/hyperlink" Target="../OneDrive/&#25991;&#26723;/&#36164;&#26009;/&#20070;&#31821;&#23384;&#26723;/&#20013;&#22269;&#20256;&#32479;&#33394;/QQ&#22270;&#29255;20220502040911.jpg"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366007</xdr:colOff>
      <xdr:row>8</xdr:row>
      <xdr:rowOff>83820</xdr:rowOff>
    </xdr:from>
    <xdr:to>
      <xdr:col>10</xdr:col>
      <xdr:colOff>700304</xdr:colOff>
      <xdr:row>8</xdr:row>
      <xdr:rowOff>342900</xdr:rowOff>
    </xdr:to>
    <xdr:pic>
      <xdr:nvPicPr>
        <xdr:cNvPr id="6" name="图片 5">
          <a:hlinkClick xmlns:r="http://schemas.openxmlformats.org/officeDocument/2006/relationships" r:id="rId1"/>
        </xdr:cNvPr>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4307205" y="2674620"/>
          <a:ext cx="334010" cy="259080"/>
        </a:xfrm>
        <a:prstGeom prst="rect">
          <a:avLst/>
        </a:prstGeom>
      </xdr:spPr>
    </xdr:pic>
    <xdr:clientData/>
  </xdr:twoCellAnchor>
  <xdr:twoCellAnchor editAs="oneCell">
    <xdr:from>
      <xdr:col>10</xdr:col>
      <xdr:colOff>342372</xdr:colOff>
      <xdr:row>19</xdr:row>
      <xdr:rowOff>38100</xdr:rowOff>
    </xdr:from>
    <xdr:to>
      <xdr:col>10</xdr:col>
      <xdr:colOff>707829</xdr:colOff>
      <xdr:row>19</xdr:row>
      <xdr:rowOff>326469</xdr:rowOff>
    </xdr:to>
    <xdr:pic>
      <xdr:nvPicPr>
        <xdr:cNvPr id="8" name="图片 7">
          <a:hlinkClick xmlns:r="http://schemas.openxmlformats.org/officeDocument/2006/relationships" r:id="rId3"/>
        </xdr:cNvPr>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4283710" y="9283700"/>
          <a:ext cx="365125" cy="2882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P96"/>
  <sheetViews>
    <sheetView zoomScale="51" zoomScaleNormal="51" workbookViewId="0">
      <pane xSplit="2" ySplit="1" topLeftCell="C2" activePane="bottomRight" state="frozen"/>
      <selection/>
      <selection pane="topRight"/>
      <selection pane="bottomLeft"/>
      <selection pane="bottomRight" activeCell="A1" sqref="A$1:A$1048576"/>
    </sheetView>
  </sheetViews>
  <sheetFormatPr defaultColWidth="9" defaultRowHeight="16.8"/>
  <cols>
    <col min="1" max="1" width="8.88392857142857" style="350"/>
    <col min="2" max="2" width="8.88392857142857" style="351"/>
    <col min="3" max="3" width="5.10714285714286" style="351" customWidth="1"/>
    <col min="4" max="4" width="4.4375" style="351" customWidth="1"/>
    <col min="5" max="5" width="3.55357142857143" style="351" customWidth="1"/>
    <col min="6" max="6" width="4" style="351" customWidth="1"/>
    <col min="7" max="7" width="4.22321428571429" style="352" customWidth="1"/>
    <col min="8" max="8" width="5.4375" style="353" customWidth="1"/>
    <col min="9" max="9" width="4.55357142857143" style="354" customWidth="1"/>
    <col min="10" max="10" width="4.88392857142857" style="351" customWidth="1"/>
    <col min="11" max="11" width="12.4375" style="351" customWidth="1"/>
    <col min="12" max="12" width="8.88392857142857" style="351"/>
    <col min="13" max="13" width="16.5535714285714" style="351" customWidth="1"/>
    <col min="14" max="15" width="8.88392857142857" style="351"/>
    <col min="16" max="16" width="188.776785714286" style="355" customWidth="1"/>
    <col min="17" max="16384" width="8.88392857142857" style="351"/>
  </cols>
  <sheetData>
    <row r="1" s="350" customFormat="1" ht="84" spans="1:16">
      <c r="A1" s="1" t="s">
        <v>0</v>
      </c>
      <c r="B1" s="1" t="s">
        <v>1</v>
      </c>
      <c r="C1" s="1" t="s">
        <v>2</v>
      </c>
      <c r="D1" s="1"/>
      <c r="E1" s="1"/>
      <c r="F1" s="1"/>
      <c r="G1" s="1" t="s">
        <v>3</v>
      </c>
      <c r="H1" s="1"/>
      <c r="I1" s="1"/>
      <c r="J1" s="1"/>
      <c r="K1" s="1" t="s">
        <v>4</v>
      </c>
      <c r="L1" s="1" t="s">
        <v>5</v>
      </c>
      <c r="M1" s="1" t="s">
        <v>6</v>
      </c>
      <c r="N1" s="1" t="s">
        <v>7</v>
      </c>
      <c r="O1" s="1" t="s">
        <v>8</v>
      </c>
      <c r="P1" s="10" t="s">
        <v>9</v>
      </c>
    </row>
    <row r="2" ht="17" spans="1:16">
      <c r="A2" s="1" t="s">
        <v>0</v>
      </c>
      <c r="B2" s="2"/>
      <c r="C2" s="2" t="s">
        <v>10</v>
      </c>
      <c r="D2" s="2" t="s">
        <v>11</v>
      </c>
      <c r="E2" s="2" t="s">
        <v>12</v>
      </c>
      <c r="F2" s="2" t="s">
        <v>13</v>
      </c>
      <c r="G2" s="3" t="s">
        <v>14</v>
      </c>
      <c r="H2" s="4" t="s">
        <v>15</v>
      </c>
      <c r="I2" s="5" t="s">
        <v>16</v>
      </c>
      <c r="J2" s="2" t="s">
        <v>17</v>
      </c>
      <c r="K2" s="12"/>
      <c r="L2" s="2"/>
      <c r="M2" s="2"/>
      <c r="N2" s="2"/>
      <c r="O2" s="2"/>
      <c r="P2" s="10"/>
    </row>
    <row r="3" ht="17" spans="1:16">
      <c r="A3" s="1" t="s">
        <v>18</v>
      </c>
      <c r="B3" s="1028"/>
      <c r="C3" s="2">
        <v>16</v>
      </c>
      <c r="D3" s="2">
        <v>0</v>
      </c>
      <c r="E3" s="2">
        <v>4</v>
      </c>
      <c r="F3" s="2">
        <v>0</v>
      </c>
      <c r="G3" s="3">
        <v>210</v>
      </c>
      <c r="H3" s="4">
        <v>240</v>
      </c>
      <c r="I3" s="5">
        <v>244</v>
      </c>
      <c r="J3" s="2">
        <f>G3+H3+I3</f>
        <v>694</v>
      </c>
      <c r="K3" s="2"/>
      <c r="L3" s="2"/>
      <c r="M3" s="12"/>
      <c r="N3" s="2"/>
      <c r="O3" s="2"/>
      <c r="P3" s="10"/>
    </row>
    <row r="4" ht="17" spans="1:16">
      <c r="A4" s="1" t="s">
        <v>19</v>
      </c>
      <c r="B4" s="1029"/>
      <c r="C4" s="2">
        <v>33</v>
      </c>
      <c r="D4" s="2">
        <v>0</v>
      </c>
      <c r="E4" s="2">
        <v>14</v>
      </c>
      <c r="F4" s="2">
        <v>0</v>
      </c>
      <c r="G4" s="3">
        <v>198</v>
      </c>
      <c r="H4" s="4">
        <v>230</v>
      </c>
      <c r="I4" s="5">
        <v>232</v>
      </c>
      <c r="J4" s="2">
        <f t="shared" ref="J4:J19" si="0">G4+H4+I4</f>
        <v>660</v>
      </c>
      <c r="K4" s="2"/>
      <c r="L4" s="17"/>
      <c r="M4" s="2"/>
      <c r="N4" s="2"/>
      <c r="O4" s="2"/>
      <c r="P4" s="10"/>
    </row>
    <row r="5" ht="17" spans="1:16">
      <c r="A5" s="1" t="s">
        <v>20</v>
      </c>
      <c r="B5" s="1030"/>
      <c r="C5" s="2">
        <v>25</v>
      </c>
      <c r="D5" s="2">
        <v>6</v>
      </c>
      <c r="E5" s="2">
        <v>10</v>
      </c>
      <c r="F5" s="2">
        <v>0</v>
      </c>
      <c r="G5" s="3">
        <v>208</v>
      </c>
      <c r="H5" s="4">
        <v>223</v>
      </c>
      <c r="I5" s="5">
        <v>230</v>
      </c>
      <c r="J5" s="2">
        <f t="shared" si="0"/>
        <v>661</v>
      </c>
      <c r="K5" s="2"/>
      <c r="L5" s="17"/>
      <c r="M5" s="2"/>
      <c r="N5" s="2"/>
      <c r="O5" s="2"/>
      <c r="P5" s="10"/>
    </row>
    <row r="6" ht="17" spans="1:16">
      <c r="A6" s="1" t="s">
        <v>21</v>
      </c>
      <c r="B6" s="1031"/>
      <c r="C6" s="2">
        <v>32</v>
      </c>
      <c r="D6" s="2">
        <v>8</v>
      </c>
      <c r="E6" s="2">
        <v>13</v>
      </c>
      <c r="F6" s="2">
        <v>0</v>
      </c>
      <c r="G6" s="3">
        <v>195</v>
      </c>
      <c r="H6" s="4">
        <v>215</v>
      </c>
      <c r="I6" s="5">
        <v>223</v>
      </c>
      <c r="J6" s="2">
        <f t="shared" si="0"/>
        <v>633</v>
      </c>
      <c r="K6" s="2"/>
      <c r="L6" s="17"/>
      <c r="M6" s="2"/>
      <c r="N6" s="2"/>
      <c r="O6" s="2"/>
      <c r="P6" s="10"/>
    </row>
    <row r="7" ht="17" spans="1:16">
      <c r="A7" s="1" t="s">
        <v>22</v>
      </c>
      <c r="B7" s="1032"/>
      <c r="C7" s="2">
        <v>30</v>
      </c>
      <c r="D7" s="2">
        <v>10</v>
      </c>
      <c r="E7" s="2">
        <v>5</v>
      </c>
      <c r="F7" s="2">
        <v>0</v>
      </c>
      <c r="G7" s="3">
        <v>188</v>
      </c>
      <c r="H7" s="4">
        <v>212</v>
      </c>
      <c r="I7" s="5">
        <v>231</v>
      </c>
      <c r="J7" s="2">
        <f t="shared" si="0"/>
        <v>631</v>
      </c>
      <c r="K7" s="12"/>
      <c r="L7" s="2"/>
      <c r="M7" s="2"/>
      <c r="N7" s="2"/>
      <c r="O7" s="2"/>
      <c r="P7" s="10" t="s">
        <v>23</v>
      </c>
    </row>
    <row r="8" ht="17" spans="1:16">
      <c r="A8" s="1" t="s">
        <v>24</v>
      </c>
      <c r="B8" s="1033"/>
      <c r="C8" s="2">
        <v>28</v>
      </c>
      <c r="D8" s="2">
        <v>12</v>
      </c>
      <c r="E8" s="2">
        <v>17</v>
      </c>
      <c r="F8" s="2">
        <v>0</v>
      </c>
      <c r="G8" s="3">
        <v>199</v>
      </c>
      <c r="H8" s="4">
        <v>210</v>
      </c>
      <c r="I8" s="5">
        <v>212</v>
      </c>
      <c r="J8" s="2">
        <f t="shared" si="0"/>
        <v>621</v>
      </c>
      <c r="K8" s="2"/>
      <c r="L8" s="17"/>
      <c r="M8" s="2"/>
      <c r="N8" s="2"/>
      <c r="O8" s="2"/>
      <c r="P8" s="10"/>
    </row>
    <row r="9" ht="17" spans="1:16">
      <c r="A9" s="1" t="s">
        <v>25</v>
      </c>
      <c r="B9" s="1034"/>
      <c r="C9" s="2">
        <v>35</v>
      </c>
      <c r="D9" s="2">
        <v>10</v>
      </c>
      <c r="E9" s="2">
        <v>0</v>
      </c>
      <c r="F9" s="2">
        <v>0</v>
      </c>
      <c r="G9" s="3">
        <v>174</v>
      </c>
      <c r="H9" s="4">
        <v>208</v>
      </c>
      <c r="I9" s="5">
        <v>238</v>
      </c>
      <c r="J9" s="2">
        <f t="shared" si="0"/>
        <v>620</v>
      </c>
      <c r="K9" s="12"/>
      <c r="L9" s="2"/>
      <c r="M9" s="2"/>
      <c r="N9" s="2"/>
      <c r="O9" s="2"/>
      <c r="P9" s="10" t="s">
        <v>26</v>
      </c>
    </row>
    <row r="10" ht="17" spans="1:16">
      <c r="A10" s="1" t="s">
        <v>27</v>
      </c>
      <c r="B10" s="1035"/>
      <c r="C10" s="2">
        <v>43</v>
      </c>
      <c r="D10" s="2">
        <v>4</v>
      </c>
      <c r="E10" s="2">
        <v>16</v>
      </c>
      <c r="F10" s="2">
        <v>0</v>
      </c>
      <c r="G10" s="3">
        <v>176</v>
      </c>
      <c r="H10" s="4">
        <v>213</v>
      </c>
      <c r="I10" s="5">
        <v>223</v>
      </c>
      <c r="J10" s="2">
        <f t="shared" si="0"/>
        <v>612</v>
      </c>
      <c r="K10" s="2"/>
      <c r="L10" s="17"/>
      <c r="M10" s="2"/>
      <c r="N10" s="2"/>
      <c r="O10" s="2"/>
      <c r="P10" s="10"/>
    </row>
    <row r="11" ht="17" spans="1:16">
      <c r="A11" s="1" t="s">
        <v>28</v>
      </c>
      <c r="B11" s="1036"/>
      <c r="C11" s="2">
        <v>35</v>
      </c>
      <c r="D11" s="2">
        <v>13</v>
      </c>
      <c r="E11" s="2">
        <v>13</v>
      </c>
      <c r="F11" s="2">
        <v>0</v>
      </c>
      <c r="G11" s="3">
        <v>186</v>
      </c>
      <c r="H11" s="4">
        <v>204</v>
      </c>
      <c r="I11" s="5">
        <v>217</v>
      </c>
      <c r="J11" s="2">
        <f t="shared" si="0"/>
        <v>607</v>
      </c>
      <c r="K11" s="2"/>
      <c r="L11" s="17"/>
      <c r="M11" s="2"/>
      <c r="N11" s="2"/>
      <c r="O11" s="2"/>
      <c r="P11" s="10"/>
    </row>
    <row r="12" ht="34" spans="1:16">
      <c r="A12" s="1" t="s">
        <v>29</v>
      </c>
      <c r="B12" s="1037"/>
      <c r="C12" s="2">
        <v>40</v>
      </c>
      <c r="D12" s="2">
        <v>5</v>
      </c>
      <c r="E12" s="2">
        <v>10</v>
      </c>
      <c r="F12" s="2">
        <v>0</v>
      </c>
      <c r="G12" s="3">
        <v>162</v>
      </c>
      <c r="H12" s="4">
        <v>210</v>
      </c>
      <c r="I12" s="5">
        <v>226</v>
      </c>
      <c r="J12" s="2">
        <f t="shared" si="0"/>
        <v>598</v>
      </c>
      <c r="K12" s="12"/>
      <c r="L12" s="2"/>
      <c r="M12" s="2"/>
      <c r="N12" s="2"/>
      <c r="O12" s="2"/>
      <c r="P12" s="10" t="s">
        <v>30</v>
      </c>
    </row>
    <row r="13" ht="17" spans="1:16">
      <c r="A13" s="1" t="s">
        <v>31</v>
      </c>
      <c r="B13" s="1038"/>
      <c r="C13" s="2">
        <v>57</v>
      </c>
      <c r="D13" s="2">
        <v>0</v>
      </c>
      <c r="E13" s="2">
        <v>22</v>
      </c>
      <c r="F13" s="2">
        <v>0</v>
      </c>
      <c r="G13" s="3">
        <v>147</v>
      </c>
      <c r="H13" s="4">
        <v>213</v>
      </c>
      <c r="I13" s="5">
        <v>220</v>
      </c>
      <c r="J13" s="2">
        <f t="shared" si="0"/>
        <v>580</v>
      </c>
      <c r="K13" s="2"/>
      <c r="L13" s="17"/>
      <c r="M13" s="2"/>
      <c r="N13" s="2"/>
      <c r="O13" s="2"/>
      <c r="P13" s="10"/>
    </row>
    <row r="14" ht="17" spans="1:16">
      <c r="A14" s="1" t="s">
        <v>32</v>
      </c>
      <c r="B14" s="1039"/>
      <c r="C14" s="2">
        <v>40</v>
      </c>
      <c r="D14" s="2">
        <v>20</v>
      </c>
      <c r="E14" s="2">
        <v>5</v>
      </c>
      <c r="F14" s="2">
        <v>0</v>
      </c>
      <c r="G14" s="3">
        <v>163</v>
      </c>
      <c r="H14" s="4">
        <v>187</v>
      </c>
      <c r="I14" s="5">
        <v>219</v>
      </c>
      <c r="J14" s="2">
        <f t="shared" si="0"/>
        <v>569</v>
      </c>
      <c r="K14" s="12"/>
      <c r="L14" s="2"/>
      <c r="M14" s="2"/>
      <c r="N14" s="2"/>
      <c r="O14" s="2"/>
      <c r="P14" s="10" t="s">
        <v>33</v>
      </c>
    </row>
    <row r="15" ht="135" spans="1:16">
      <c r="A15" s="1" t="s">
        <v>34</v>
      </c>
      <c r="B15" s="1040"/>
      <c r="C15" s="2">
        <v>50</v>
      </c>
      <c r="D15" s="2">
        <v>10</v>
      </c>
      <c r="E15" s="2">
        <v>10</v>
      </c>
      <c r="F15" s="2">
        <v>0</v>
      </c>
      <c r="G15" s="3">
        <v>133</v>
      </c>
      <c r="H15" s="4">
        <v>192</v>
      </c>
      <c r="I15" s="5">
        <v>219</v>
      </c>
      <c r="J15" s="2">
        <f t="shared" si="0"/>
        <v>544</v>
      </c>
      <c r="K15" s="2"/>
      <c r="L15" s="2"/>
      <c r="M15" s="2"/>
      <c r="N15" s="2"/>
      <c r="O15" s="9"/>
      <c r="P15" s="10" t="s">
        <v>35</v>
      </c>
    </row>
    <row r="16" ht="17" spans="1:16">
      <c r="A16" s="1" t="s">
        <v>36</v>
      </c>
      <c r="B16" s="1041"/>
      <c r="C16" s="2">
        <v>59</v>
      </c>
      <c r="D16" s="2">
        <v>12</v>
      </c>
      <c r="E16" s="2">
        <v>19</v>
      </c>
      <c r="F16" s="2">
        <v>0</v>
      </c>
      <c r="G16" s="3">
        <v>138</v>
      </c>
      <c r="H16" s="4">
        <v>188</v>
      </c>
      <c r="I16" s="5">
        <v>209</v>
      </c>
      <c r="J16" s="2">
        <f t="shared" si="0"/>
        <v>535</v>
      </c>
      <c r="K16" s="2"/>
      <c r="L16" s="17"/>
      <c r="M16" s="2"/>
      <c r="N16" s="2"/>
      <c r="O16" s="2"/>
      <c r="P16" s="10"/>
    </row>
    <row r="17" ht="17" spans="1:16">
      <c r="A17" s="1" t="s">
        <v>37</v>
      </c>
      <c r="B17" s="1042"/>
      <c r="C17" s="2">
        <v>53</v>
      </c>
      <c r="D17" s="2">
        <v>19</v>
      </c>
      <c r="E17" s="2">
        <v>15</v>
      </c>
      <c r="F17" s="2">
        <v>1</v>
      </c>
      <c r="G17" s="3">
        <v>147</v>
      </c>
      <c r="H17" s="4">
        <v>181</v>
      </c>
      <c r="I17" s="5">
        <v>207</v>
      </c>
      <c r="J17" s="2">
        <f t="shared" si="0"/>
        <v>535</v>
      </c>
      <c r="K17" s="2"/>
      <c r="L17" s="17"/>
      <c r="M17" s="2"/>
      <c r="N17" s="2"/>
      <c r="O17" s="2"/>
      <c r="P17" s="10"/>
    </row>
    <row r="18" ht="17" spans="1:16">
      <c r="A18" s="1" t="s">
        <v>38</v>
      </c>
      <c r="B18" s="1043"/>
      <c r="C18" s="2">
        <v>62</v>
      </c>
      <c r="D18" s="2">
        <v>0</v>
      </c>
      <c r="E18" s="2">
        <v>53</v>
      </c>
      <c r="F18" s="2">
        <v>0</v>
      </c>
      <c r="G18" s="3">
        <v>46</v>
      </c>
      <c r="H18" s="4">
        <v>223</v>
      </c>
      <c r="I18" s="5">
        <v>263</v>
      </c>
      <c r="J18" s="2">
        <f t="shared" si="0"/>
        <v>532</v>
      </c>
      <c r="K18" s="2"/>
      <c r="L18" s="2"/>
      <c r="M18" s="12"/>
      <c r="N18" s="2"/>
      <c r="O18" s="2"/>
      <c r="P18" s="10" t="s">
        <v>39</v>
      </c>
    </row>
    <row r="19" ht="17" spans="1:16">
      <c r="A19" s="1" t="s">
        <v>40</v>
      </c>
      <c r="B19" s="1044"/>
      <c r="C19" s="2">
        <v>53</v>
      </c>
      <c r="D19" s="2">
        <v>0</v>
      </c>
      <c r="E19" s="2">
        <v>19</v>
      </c>
      <c r="F19" s="2">
        <v>0</v>
      </c>
      <c r="G19" s="3">
        <v>62</v>
      </c>
      <c r="H19" s="4">
        <v>237</v>
      </c>
      <c r="I19" s="5">
        <v>231</v>
      </c>
      <c r="J19" s="2">
        <f t="shared" si="0"/>
        <v>530</v>
      </c>
      <c r="K19" s="2"/>
      <c r="L19" s="2"/>
      <c r="M19" s="12"/>
      <c r="N19" s="2"/>
      <c r="O19" s="2"/>
      <c r="P19" s="10" t="s">
        <v>41</v>
      </c>
    </row>
    <row r="20" ht="68" spans="1:16">
      <c r="A20" s="1" t="s">
        <v>42</v>
      </c>
      <c r="B20" s="1045"/>
      <c r="C20" s="2">
        <v>50</v>
      </c>
      <c r="D20" s="2">
        <v>25</v>
      </c>
      <c r="E20" s="2">
        <v>0</v>
      </c>
      <c r="F20" s="2">
        <v>0</v>
      </c>
      <c r="G20" s="3">
        <v>136</v>
      </c>
      <c r="H20" s="4">
        <v>171</v>
      </c>
      <c r="I20" s="5">
        <v>218</v>
      </c>
      <c r="J20" s="2">
        <f t="shared" ref="J20:J72" si="1">G20+H20+I20</f>
        <v>525</v>
      </c>
      <c r="K20" s="12"/>
      <c r="L20" s="2"/>
      <c r="M20" s="2"/>
      <c r="N20" s="2"/>
      <c r="O20" s="2"/>
      <c r="P20" s="10" t="s">
        <v>43</v>
      </c>
    </row>
    <row r="21" ht="17" spans="1:16">
      <c r="A21" s="1" t="s">
        <v>44</v>
      </c>
      <c r="B21" s="1046"/>
      <c r="C21" s="2">
        <v>55</v>
      </c>
      <c r="D21" s="2">
        <v>20</v>
      </c>
      <c r="E21" s="2">
        <v>18</v>
      </c>
      <c r="F21" s="2">
        <v>1</v>
      </c>
      <c r="G21" s="3">
        <v>143</v>
      </c>
      <c r="H21" s="4">
        <v>178</v>
      </c>
      <c r="I21" s="5">
        <v>201</v>
      </c>
      <c r="J21" s="2">
        <f t="shared" ref="J21:J29" si="2">G21+H21+I21</f>
        <v>522</v>
      </c>
      <c r="K21" s="2"/>
      <c r="L21" s="17"/>
      <c r="M21" s="2"/>
      <c r="N21" s="2"/>
      <c r="O21" s="2"/>
      <c r="P21" s="10"/>
    </row>
    <row r="22" ht="17" spans="1:16">
      <c r="A22" s="1" t="s">
        <v>45</v>
      </c>
      <c r="B22" s="1047"/>
      <c r="C22" s="2">
        <v>57</v>
      </c>
      <c r="D22" s="2">
        <v>0</v>
      </c>
      <c r="E22" s="2">
        <v>10</v>
      </c>
      <c r="F22" s="2">
        <v>0</v>
      </c>
      <c r="G22" s="3">
        <v>48</v>
      </c>
      <c r="H22" s="4">
        <v>223</v>
      </c>
      <c r="I22" s="5">
        <v>243</v>
      </c>
      <c r="J22" s="2">
        <f t="shared" si="2"/>
        <v>514</v>
      </c>
      <c r="K22" s="2"/>
      <c r="L22" s="2"/>
      <c r="M22" s="12"/>
      <c r="N22" s="2"/>
      <c r="O22" s="2"/>
      <c r="P22" s="10"/>
    </row>
    <row r="23" ht="17" spans="1:16">
      <c r="A23" s="1" t="s">
        <v>46</v>
      </c>
      <c r="B23" s="1048"/>
      <c r="C23" s="2">
        <v>50</v>
      </c>
      <c r="D23" s="2">
        <v>25</v>
      </c>
      <c r="E23" s="2">
        <v>10</v>
      </c>
      <c r="F23" s="2">
        <v>0</v>
      </c>
      <c r="G23" s="3">
        <v>138</v>
      </c>
      <c r="H23" s="4">
        <v>171</v>
      </c>
      <c r="I23" s="5">
        <v>204</v>
      </c>
      <c r="J23" s="2">
        <f t="shared" si="2"/>
        <v>513</v>
      </c>
      <c r="K23" s="12"/>
      <c r="L23" s="2"/>
      <c r="M23" s="2"/>
      <c r="N23" s="2"/>
      <c r="O23" s="2"/>
      <c r="P23" s="10" t="s">
        <v>47</v>
      </c>
    </row>
    <row r="24" ht="34" spans="1:16">
      <c r="A24" s="1" t="s">
        <v>48</v>
      </c>
      <c r="B24" s="1049"/>
      <c r="C24" s="2">
        <v>50</v>
      </c>
      <c r="D24" s="2">
        <v>30</v>
      </c>
      <c r="E24" s="2">
        <v>10</v>
      </c>
      <c r="F24" s="2">
        <v>0</v>
      </c>
      <c r="G24" s="3">
        <v>139</v>
      </c>
      <c r="H24" s="4">
        <v>163</v>
      </c>
      <c r="I24" s="5">
        <v>199</v>
      </c>
      <c r="J24" s="2">
        <f t="shared" si="2"/>
        <v>501</v>
      </c>
      <c r="K24" s="12"/>
      <c r="L24" s="2"/>
      <c r="M24" s="2"/>
      <c r="N24" s="2"/>
      <c r="O24" s="2"/>
      <c r="P24" s="10" t="s">
        <v>49</v>
      </c>
    </row>
    <row r="25" ht="17" spans="1:16">
      <c r="A25" s="1" t="s">
        <v>50</v>
      </c>
      <c r="B25" s="1050"/>
      <c r="C25" s="2">
        <v>74</v>
      </c>
      <c r="D25" s="2">
        <v>2</v>
      </c>
      <c r="E25" s="2">
        <v>24</v>
      </c>
      <c r="F25" s="2">
        <v>0</v>
      </c>
      <c r="G25" s="3">
        <v>99</v>
      </c>
      <c r="H25" s="4">
        <v>187</v>
      </c>
      <c r="I25" s="5">
        <v>208</v>
      </c>
      <c r="J25" s="2">
        <f t="shared" si="2"/>
        <v>494</v>
      </c>
      <c r="K25" s="2"/>
      <c r="L25" s="17"/>
      <c r="M25" s="2"/>
      <c r="N25" s="2"/>
      <c r="O25" s="2"/>
      <c r="P25" s="10"/>
    </row>
    <row r="26" ht="135" spans="1:16">
      <c r="A26" s="1" t="s">
        <v>51</v>
      </c>
      <c r="B26" s="1051"/>
      <c r="C26" s="2">
        <v>50</v>
      </c>
      <c r="D26" s="2">
        <v>40</v>
      </c>
      <c r="E26" s="2">
        <v>0</v>
      </c>
      <c r="F26" s="2">
        <v>0</v>
      </c>
      <c r="G26" s="3">
        <v>141</v>
      </c>
      <c r="H26" s="4">
        <v>147</v>
      </c>
      <c r="I26" s="5">
        <v>200</v>
      </c>
      <c r="J26" s="2">
        <f t="shared" si="2"/>
        <v>488</v>
      </c>
      <c r="K26" s="2"/>
      <c r="L26" s="2"/>
      <c r="M26" s="2"/>
      <c r="N26" s="14"/>
      <c r="O26" s="9"/>
      <c r="P26" s="10" t="s">
        <v>52</v>
      </c>
    </row>
    <row r="27" ht="168" spans="1:16">
      <c r="A27" s="1" t="s">
        <v>53</v>
      </c>
      <c r="B27" s="1052"/>
      <c r="C27" s="2">
        <v>65</v>
      </c>
      <c r="D27" s="2">
        <v>0</v>
      </c>
      <c r="E27" s="2">
        <v>6</v>
      </c>
      <c r="F27" s="2">
        <v>0</v>
      </c>
      <c r="G27" s="3">
        <v>60</v>
      </c>
      <c r="H27" s="4">
        <v>190</v>
      </c>
      <c r="I27" s="5">
        <v>231</v>
      </c>
      <c r="J27" s="2">
        <f t="shared" si="2"/>
        <v>481</v>
      </c>
      <c r="K27" s="2"/>
      <c r="L27" s="2"/>
      <c r="M27" s="2"/>
      <c r="N27" s="14"/>
      <c r="O27" s="9"/>
      <c r="P27" s="10" t="s">
        <v>54</v>
      </c>
    </row>
    <row r="28" ht="17" spans="1:16">
      <c r="A28" s="1" t="s">
        <v>55</v>
      </c>
      <c r="B28" s="1053"/>
      <c r="C28" s="2">
        <v>77</v>
      </c>
      <c r="D28" s="2">
        <v>7</v>
      </c>
      <c r="E28" s="2">
        <v>24</v>
      </c>
      <c r="F28" s="2">
        <v>0</v>
      </c>
      <c r="G28" s="3">
        <v>92</v>
      </c>
      <c r="H28" s="4">
        <v>179</v>
      </c>
      <c r="I28" s="5">
        <v>204</v>
      </c>
      <c r="J28" s="2">
        <f t="shared" si="2"/>
        <v>475</v>
      </c>
      <c r="K28" s="2"/>
      <c r="L28" s="17"/>
      <c r="M28" s="2"/>
      <c r="N28" s="2"/>
      <c r="O28" s="2"/>
      <c r="P28" s="10"/>
    </row>
    <row r="29" ht="17" spans="1:16">
      <c r="A29" s="1" t="s">
        <v>56</v>
      </c>
      <c r="B29" s="1054"/>
      <c r="C29" s="2">
        <v>73</v>
      </c>
      <c r="D29" s="2">
        <v>17</v>
      </c>
      <c r="E29" s="2">
        <v>20</v>
      </c>
      <c r="F29" s="2">
        <v>1</v>
      </c>
      <c r="G29" s="3">
        <v>102</v>
      </c>
      <c r="H29" s="4">
        <v>169</v>
      </c>
      <c r="I29" s="5">
        <v>201</v>
      </c>
      <c r="J29" s="2">
        <f t="shared" si="2"/>
        <v>472</v>
      </c>
      <c r="K29" s="2"/>
      <c r="L29" s="17"/>
      <c r="M29" s="2"/>
      <c r="N29" s="2"/>
      <c r="O29" s="2"/>
      <c r="P29" s="10"/>
    </row>
    <row r="30" ht="17" spans="1:16">
      <c r="A30" s="1" t="s">
        <v>57</v>
      </c>
      <c r="B30" s="1055"/>
      <c r="C30" s="2">
        <v>60</v>
      </c>
      <c r="D30" s="2">
        <v>35</v>
      </c>
      <c r="E30" s="2">
        <v>0</v>
      </c>
      <c r="F30" s="2">
        <v>0</v>
      </c>
      <c r="G30" s="3">
        <v>111</v>
      </c>
      <c r="H30" s="4">
        <v>148</v>
      </c>
      <c r="I30" s="5">
        <v>205</v>
      </c>
      <c r="J30" s="2">
        <f t="shared" si="1"/>
        <v>464</v>
      </c>
      <c r="K30" s="12"/>
      <c r="L30" s="2"/>
      <c r="M30" s="2"/>
      <c r="N30" s="2"/>
      <c r="O30" s="2"/>
      <c r="P30" s="10" t="s">
        <v>58</v>
      </c>
    </row>
    <row r="31" ht="17" spans="1:16">
      <c r="A31" s="1" t="s">
        <v>59</v>
      </c>
      <c r="B31" s="1056"/>
      <c r="C31" s="2">
        <v>60</v>
      </c>
      <c r="D31" s="2">
        <v>30</v>
      </c>
      <c r="E31" s="2">
        <v>10</v>
      </c>
      <c r="F31" s="2">
        <v>0</v>
      </c>
      <c r="G31" s="3">
        <v>110</v>
      </c>
      <c r="H31" s="4">
        <v>155</v>
      </c>
      <c r="I31" s="5">
        <v>197</v>
      </c>
      <c r="J31" s="2">
        <f t="shared" si="1"/>
        <v>462</v>
      </c>
      <c r="K31" s="12" t="s">
        <v>60</v>
      </c>
      <c r="L31" s="2"/>
      <c r="M31" s="2"/>
      <c r="N31" s="2"/>
      <c r="O31" s="2"/>
      <c r="P31" s="10" t="s">
        <v>61</v>
      </c>
    </row>
    <row r="32" ht="34" spans="1:16">
      <c r="A32" s="1" t="s">
        <v>62</v>
      </c>
      <c r="B32" s="1057"/>
      <c r="C32" s="2">
        <v>74</v>
      </c>
      <c r="D32" s="2">
        <v>27</v>
      </c>
      <c r="E32" s="2">
        <v>16</v>
      </c>
      <c r="F32" s="2">
        <v>2</v>
      </c>
      <c r="G32" s="3">
        <v>97</v>
      </c>
      <c r="H32" s="4">
        <v>154</v>
      </c>
      <c r="I32" s="5">
        <v>195</v>
      </c>
      <c r="J32" s="2">
        <f t="shared" si="1"/>
        <v>446</v>
      </c>
      <c r="K32" s="2"/>
      <c r="L32" s="17"/>
      <c r="M32" s="2"/>
      <c r="N32" s="2"/>
      <c r="O32" s="2"/>
      <c r="P32" s="10"/>
    </row>
    <row r="33" ht="17" spans="1:16">
      <c r="A33" s="1" t="s">
        <v>63</v>
      </c>
      <c r="B33" s="1058"/>
      <c r="C33" s="2">
        <v>78</v>
      </c>
      <c r="D33" s="2">
        <v>27</v>
      </c>
      <c r="E33" s="2">
        <v>17</v>
      </c>
      <c r="F33" s="2">
        <v>2</v>
      </c>
      <c r="G33" s="3">
        <v>86</v>
      </c>
      <c r="H33" s="4">
        <v>152</v>
      </c>
      <c r="I33" s="5">
        <v>195</v>
      </c>
      <c r="J33" s="2">
        <f t="shared" si="1"/>
        <v>433</v>
      </c>
      <c r="K33" s="2"/>
      <c r="L33" s="17"/>
      <c r="M33" s="2"/>
      <c r="N33" s="2"/>
      <c r="O33" s="2"/>
      <c r="P33" s="10"/>
    </row>
    <row r="34" ht="51" spans="1:16">
      <c r="A34" s="1" t="s">
        <v>64</v>
      </c>
      <c r="B34" s="1059"/>
      <c r="C34" s="2">
        <v>70</v>
      </c>
      <c r="D34" s="2">
        <v>30</v>
      </c>
      <c r="E34" s="2">
        <v>10</v>
      </c>
      <c r="F34" s="2">
        <v>0</v>
      </c>
      <c r="G34" s="3">
        <v>73</v>
      </c>
      <c r="H34" s="4">
        <v>148</v>
      </c>
      <c r="I34" s="5">
        <v>196</v>
      </c>
      <c r="J34" s="2">
        <f t="shared" si="1"/>
        <v>417</v>
      </c>
      <c r="K34" s="12"/>
      <c r="L34" s="2"/>
      <c r="M34" s="2"/>
      <c r="N34" s="14"/>
      <c r="O34" s="2"/>
      <c r="P34" s="10" t="s">
        <v>65</v>
      </c>
    </row>
    <row r="35" ht="34" spans="1:16">
      <c r="A35" s="1" t="s">
        <v>66</v>
      </c>
      <c r="B35" s="1060"/>
      <c r="C35" s="2">
        <v>70</v>
      </c>
      <c r="D35" s="2">
        <v>50</v>
      </c>
      <c r="E35" s="2">
        <v>0</v>
      </c>
      <c r="F35" s="2">
        <v>0</v>
      </c>
      <c r="G35" s="3">
        <v>89</v>
      </c>
      <c r="H35" s="4">
        <v>118</v>
      </c>
      <c r="I35" s="5">
        <v>186</v>
      </c>
      <c r="J35" s="2">
        <f t="shared" si="1"/>
        <v>393</v>
      </c>
      <c r="K35" s="12"/>
      <c r="L35" s="2"/>
      <c r="M35" s="2"/>
      <c r="N35" s="2"/>
      <c r="O35" s="2"/>
      <c r="P35" s="10" t="s">
        <v>67</v>
      </c>
    </row>
    <row r="36" ht="17" spans="1:16">
      <c r="A36" s="1" t="s">
        <v>68</v>
      </c>
      <c r="B36" s="1061"/>
      <c r="C36" s="2">
        <v>92</v>
      </c>
      <c r="D36" s="2">
        <v>10</v>
      </c>
      <c r="E36" s="2">
        <v>25</v>
      </c>
      <c r="F36" s="2">
        <v>1</v>
      </c>
      <c r="G36" s="3">
        <v>34</v>
      </c>
      <c r="H36" s="4">
        <v>162</v>
      </c>
      <c r="I36" s="5">
        <v>195</v>
      </c>
      <c r="J36" s="2">
        <f t="shared" si="1"/>
        <v>391</v>
      </c>
      <c r="K36" s="2"/>
      <c r="L36" s="17"/>
      <c r="M36" s="2"/>
      <c r="N36" s="2"/>
      <c r="O36" s="2"/>
      <c r="P36" s="10"/>
    </row>
    <row r="37" ht="17" spans="1:16">
      <c r="A37" s="1" t="s">
        <v>69</v>
      </c>
      <c r="B37" s="1062"/>
      <c r="C37" s="2">
        <v>91</v>
      </c>
      <c r="D37" s="2">
        <v>24</v>
      </c>
      <c r="E37" s="2">
        <v>22</v>
      </c>
      <c r="F37" s="2">
        <v>4</v>
      </c>
      <c r="G37" s="3">
        <v>47</v>
      </c>
      <c r="H37" s="4">
        <v>144</v>
      </c>
      <c r="I37" s="5">
        <v>185</v>
      </c>
      <c r="J37" s="2">
        <f t="shared" si="1"/>
        <v>376</v>
      </c>
      <c r="K37" s="2"/>
      <c r="L37" s="17"/>
      <c r="M37" s="2"/>
      <c r="N37" s="2"/>
      <c r="O37" s="2"/>
      <c r="P37" s="10"/>
    </row>
    <row r="38" ht="118" spans="1:16">
      <c r="A38" s="1" t="s">
        <v>70</v>
      </c>
      <c r="B38" s="1063"/>
      <c r="C38" s="2">
        <v>65</v>
      </c>
      <c r="D38" s="2">
        <v>50</v>
      </c>
      <c r="E38" s="2">
        <v>35</v>
      </c>
      <c r="F38" s="2">
        <v>0</v>
      </c>
      <c r="G38" s="3">
        <v>107</v>
      </c>
      <c r="H38" s="4">
        <v>121</v>
      </c>
      <c r="I38" s="5">
        <v>142</v>
      </c>
      <c r="J38" s="2">
        <f t="shared" si="1"/>
        <v>370</v>
      </c>
      <c r="K38" s="12"/>
      <c r="L38" s="2"/>
      <c r="M38" s="2"/>
      <c r="N38" s="2"/>
      <c r="O38" s="2"/>
      <c r="P38" s="10" t="s">
        <v>71</v>
      </c>
    </row>
    <row r="39" ht="34" spans="1:16">
      <c r="A39" s="1" t="s">
        <v>72</v>
      </c>
      <c r="B39" s="1064"/>
      <c r="C39" s="2">
        <v>78</v>
      </c>
      <c r="D39" s="2">
        <v>69</v>
      </c>
      <c r="E39" s="2">
        <v>0</v>
      </c>
      <c r="F39" s="2">
        <v>0</v>
      </c>
      <c r="G39" s="3">
        <v>75</v>
      </c>
      <c r="H39" s="4">
        <v>92</v>
      </c>
      <c r="I39" s="5">
        <v>196</v>
      </c>
      <c r="J39" s="2">
        <f t="shared" si="1"/>
        <v>363</v>
      </c>
      <c r="K39" s="2"/>
      <c r="L39" s="2"/>
      <c r="M39" s="12"/>
      <c r="N39" s="14"/>
      <c r="O39" s="2"/>
      <c r="P39" s="10" t="s">
        <v>73</v>
      </c>
    </row>
    <row r="40" ht="17" spans="1:16">
      <c r="A40" s="1" t="s">
        <v>74</v>
      </c>
      <c r="B40" s="1065"/>
      <c r="C40" s="2">
        <v>81</v>
      </c>
      <c r="D40" s="2">
        <v>41</v>
      </c>
      <c r="E40" s="2">
        <v>24</v>
      </c>
      <c r="F40" s="2">
        <v>8</v>
      </c>
      <c r="G40" s="3">
        <v>78</v>
      </c>
      <c r="H40" s="4">
        <v>124</v>
      </c>
      <c r="I40" s="5">
        <v>161</v>
      </c>
      <c r="J40" s="2">
        <f t="shared" ref="J40:J47" si="3">G40+H40+I40</f>
        <v>363</v>
      </c>
      <c r="K40" s="2"/>
      <c r="L40" s="17"/>
      <c r="M40" s="2"/>
      <c r="N40" s="2"/>
      <c r="O40" s="2"/>
      <c r="P40" s="10"/>
    </row>
    <row r="41" ht="17" spans="1:16">
      <c r="A41" s="1" t="s">
        <v>75</v>
      </c>
      <c r="B41" s="1066"/>
      <c r="C41" s="2">
        <v>94</v>
      </c>
      <c r="D41" s="2">
        <v>16</v>
      </c>
      <c r="E41" s="2">
        <v>23</v>
      </c>
      <c r="F41" s="2">
        <v>3</v>
      </c>
      <c r="G41" s="3">
        <v>26</v>
      </c>
      <c r="H41" s="4">
        <v>148</v>
      </c>
      <c r="I41" s="5">
        <v>188</v>
      </c>
      <c r="J41" s="2">
        <f t="shared" si="3"/>
        <v>362</v>
      </c>
      <c r="K41" s="2"/>
      <c r="L41" s="17"/>
      <c r="M41" s="2"/>
      <c r="N41" s="14"/>
      <c r="O41" s="2"/>
      <c r="P41" s="10" t="s">
        <v>76</v>
      </c>
    </row>
    <row r="42" ht="17" spans="1:16">
      <c r="A42" s="1" t="s">
        <v>77</v>
      </c>
      <c r="B42" s="1067"/>
      <c r="C42" s="2">
        <v>75</v>
      </c>
      <c r="D42" s="2">
        <v>40</v>
      </c>
      <c r="E42" s="2">
        <v>25</v>
      </c>
      <c r="F42" s="2">
        <v>0</v>
      </c>
      <c r="G42" s="3">
        <v>65</v>
      </c>
      <c r="H42" s="4">
        <v>130</v>
      </c>
      <c r="I42" s="5">
        <v>164</v>
      </c>
      <c r="J42" s="2">
        <f t="shared" si="3"/>
        <v>359</v>
      </c>
      <c r="K42" s="12"/>
      <c r="L42" s="2"/>
      <c r="M42" s="2"/>
      <c r="N42" s="2"/>
      <c r="O42" s="2"/>
      <c r="P42" s="10" t="s">
        <v>78</v>
      </c>
    </row>
    <row r="43" ht="17" spans="1:16">
      <c r="A43" s="1" t="s">
        <v>79</v>
      </c>
      <c r="B43" s="1068"/>
      <c r="C43" s="2">
        <v>93</v>
      </c>
      <c r="D43" s="2">
        <v>36</v>
      </c>
      <c r="E43" s="2">
        <v>15</v>
      </c>
      <c r="F43" s="2">
        <v>2</v>
      </c>
      <c r="G43" s="3">
        <v>41</v>
      </c>
      <c r="H43" s="4">
        <v>131</v>
      </c>
      <c r="I43" s="5">
        <v>187</v>
      </c>
      <c r="J43" s="2">
        <f t="shared" si="3"/>
        <v>359</v>
      </c>
      <c r="K43" s="2"/>
      <c r="L43" s="17"/>
      <c r="M43" s="2"/>
      <c r="N43" s="2"/>
      <c r="O43" s="2"/>
      <c r="P43" s="10"/>
    </row>
    <row r="44" ht="17" spans="1:16">
      <c r="A44" s="1" t="s">
        <v>80</v>
      </c>
      <c r="B44" s="1069"/>
      <c r="C44" s="2">
        <v>94</v>
      </c>
      <c r="D44" s="2">
        <v>32</v>
      </c>
      <c r="E44" s="2">
        <v>17</v>
      </c>
      <c r="F44" s="2">
        <v>3</v>
      </c>
      <c r="G44" s="3">
        <v>36</v>
      </c>
      <c r="H44" s="4">
        <v>134</v>
      </c>
      <c r="I44" s="5">
        <v>185</v>
      </c>
      <c r="J44" s="2">
        <f t="shared" si="3"/>
        <v>355</v>
      </c>
      <c r="K44" s="2"/>
      <c r="L44" s="17"/>
      <c r="M44" s="2"/>
      <c r="N44" s="2"/>
      <c r="O44" s="2"/>
      <c r="P44" s="10"/>
    </row>
    <row r="45" ht="152" spans="1:16">
      <c r="A45" s="1" t="s">
        <v>81</v>
      </c>
      <c r="B45" s="1070"/>
      <c r="C45" s="2">
        <v>75</v>
      </c>
      <c r="D45" s="2">
        <v>60</v>
      </c>
      <c r="E45" s="2">
        <v>0</v>
      </c>
      <c r="F45" s="2">
        <v>0</v>
      </c>
      <c r="G45" s="3">
        <v>79</v>
      </c>
      <c r="H45" s="4">
        <v>100</v>
      </c>
      <c r="I45" s="5">
        <v>174</v>
      </c>
      <c r="J45" s="2">
        <f t="shared" si="3"/>
        <v>353</v>
      </c>
      <c r="K45" s="2"/>
      <c r="L45" s="2"/>
      <c r="M45" s="19">
        <v>123207166</v>
      </c>
      <c r="N45" s="2"/>
      <c r="O45" s="9"/>
      <c r="P45" s="10" t="s">
        <v>82</v>
      </c>
    </row>
    <row r="46" ht="17" spans="1:16">
      <c r="A46" s="1" t="s">
        <v>83</v>
      </c>
      <c r="B46" s="1071"/>
      <c r="C46" s="2">
        <v>70</v>
      </c>
      <c r="D46" s="2">
        <v>38</v>
      </c>
      <c r="E46" s="2">
        <v>36</v>
      </c>
      <c r="F46" s="2">
        <v>18</v>
      </c>
      <c r="G46" s="3">
        <v>94</v>
      </c>
      <c r="H46" s="4">
        <v>121</v>
      </c>
      <c r="I46" s="5">
        <v>135</v>
      </c>
      <c r="J46" s="2">
        <f t="shared" si="3"/>
        <v>350</v>
      </c>
      <c r="K46" s="2"/>
      <c r="L46" s="17"/>
      <c r="M46" s="2"/>
      <c r="N46" s="2"/>
      <c r="O46" s="2"/>
      <c r="P46" s="10"/>
    </row>
    <row r="47" ht="17" spans="1:16">
      <c r="A47" s="1" t="s">
        <v>84</v>
      </c>
      <c r="B47" s="1072"/>
      <c r="C47" s="2">
        <v>95</v>
      </c>
      <c r="D47" s="2">
        <v>25</v>
      </c>
      <c r="E47" s="2">
        <v>20</v>
      </c>
      <c r="F47" s="2">
        <v>4</v>
      </c>
      <c r="G47" s="3">
        <v>21</v>
      </c>
      <c r="H47" s="4">
        <v>139</v>
      </c>
      <c r="I47" s="5">
        <v>184</v>
      </c>
      <c r="J47" s="2">
        <f t="shared" si="3"/>
        <v>344</v>
      </c>
      <c r="K47" s="2"/>
      <c r="L47" s="17"/>
      <c r="M47" s="2"/>
      <c r="N47" s="2"/>
      <c r="O47" s="2"/>
      <c r="P47" s="10"/>
    </row>
    <row r="48" ht="17" spans="1:16">
      <c r="A48" s="1" t="s">
        <v>85</v>
      </c>
      <c r="B48" s="1073"/>
      <c r="C48" s="2">
        <v>80</v>
      </c>
      <c r="D48" s="2">
        <v>50</v>
      </c>
      <c r="E48" s="2">
        <v>10</v>
      </c>
      <c r="F48" s="2">
        <v>0</v>
      </c>
      <c r="G48" s="3">
        <v>50</v>
      </c>
      <c r="H48" s="4">
        <v>113</v>
      </c>
      <c r="I48" s="5">
        <v>174</v>
      </c>
      <c r="J48" s="2">
        <f t="shared" si="1"/>
        <v>337</v>
      </c>
      <c r="K48" s="12"/>
      <c r="L48" s="2"/>
      <c r="M48" s="2"/>
      <c r="N48" s="2"/>
      <c r="O48" s="2"/>
      <c r="P48" s="10" t="s">
        <v>86</v>
      </c>
    </row>
    <row r="49" ht="17" spans="1:16">
      <c r="A49" s="1" t="s">
        <v>87</v>
      </c>
      <c r="B49" s="1074"/>
      <c r="C49" s="2">
        <v>99</v>
      </c>
      <c r="D49" s="2">
        <v>44</v>
      </c>
      <c r="E49" s="2">
        <v>10</v>
      </c>
      <c r="F49" s="2">
        <v>1</v>
      </c>
      <c r="G49" s="3">
        <v>33</v>
      </c>
      <c r="H49" s="4">
        <v>119</v>
      </c>
      <c r="I49" s="5">
        <v>184</v>
      </c>
      <c r="J49" s="2">
        <f t="shared" ref="J49:J64" si="4">G49+H49+I49</f>
        <v>336</v>
      </c>
      <c r="K49" s="2"/>
      <c r="L49" s="17"/>
      <c r="M49" s="2"/>
      <c r="N49" s="2"/>
      <c r="O49" s="2"/>
      <c r="P49" s="10"/>
    </row>
    <row r="50" ht="17" spans="1:16">
      <c r="A50" s="1" t="s">
        <v>88</v>
      </c>
      <c r="B50" s="1075"/>
      <c r="C50" s="2">
        <v>95</v>
      </c>
      <c r="D50" s="2">
        <v>45</v>
      </c>
      <c r="E50" s="2">
        <v>10</v>
      </c>
      <c r="F50" s="2">
        <v>1</v>
      </c>
      <c r="G50" s="3">
        <v>35</v>
      </c>
      <c r="H50" s="4">
        <v>118</v>
      </c>
      <c r="I50" s="5">
        <v>183</v>
      </c>
      <c r="J50" s="2">
        <f t="shared" si="4"/>
        <v>336</v>
      </c>
      <c r="K50" s="2"/>
      <c r="L50" s="17"/>
      <c r="M50" s="2"/>
      <c r="N50" s="14"/>
      <c r="O50" s="2"/>
      <c r="P50" s="10" t="s">
        <v>89</v>
      </c>
    </row>
    <row r="51" ht="17" spans="1:16">
      <c r="A51" s="1" t="s">
        <v>90</v>
      </c>
      <c r="B51" s="1076"/>
      <c r="C51" s="2">
        <v>96</v>
      </c>
      <c r="D51" s="2">
        <v>47</v>
      </c>
      <c r="E51" s="2">
        <v>11</v>
      </c>
      <c r="F51" s="2">
        <v>1</v>
      </c>
      <c r="G51" s="3">
        <v>36</v>
      </c>
      <c r="H51" s="4">
        <v>116</v>
      </c>
      <c r="I51" s="5">
        <v>181</v>
      </c>
      <c r="J51" s="2">
        <f t="shared" si="4"/>
        <v>333</v>
      </c>
      <c r="K51" s="2"/>
      <c r="L51" s="17"/>
      <c r="M51" s="2"/>
      <c r="N51" s="2"/>
      <c r="O51" s="2"/>
      <c r="P51" s="10"/>
    </row>
    <row r="52" ht="17" spans="1:16">
      <c r="A52" s="1" t="s">
        <v>91</v>
      </c>
      <c r="B52" s="1077"/>
      <c r="C52" s="2">
        <v>95</v>
      </c>
      <c r="D52" s="2">
        <v>47</v>
      </c>
      <c r="E52" s="2">
        <v>14</v>
      </c>
      <c r="F52" s="2">
        <v>2</v>
      </c>
      <c r="G52" s="3">
        <v>43</v>
      </c>
      <c r="H52" s="4">
        <v>115</v>
      </c>
      <c r="I52" s="5">
        <v>175</v>
      </c>
      <c r="J52" s="2">
        <f t="shared" si="4"/>
        <v>333</v>
      </c>
      <c r="K52" s="2"/>
      <c r="L52" s="17"/>
      <c r="M52" s="2"/>
      <c r="N52" s="2"/>
      <c r="O52" s="2"/>
      <c r="P52" s="10"/>
    </row>
    <row r="53" ht="17" spans="1:16">
      <c r="A53" s="1" t="s">
        <v>92</v>
      </c>
      <c r="B53" s="1078"/>
      <c r="C53" s="2">
        <v>96</v>
      </c>
      <c r="D53" s="2">
        <v>34</v>
      </c>
      <c r="E53" s="2">
        <v>18</v>
      </c>
      <c r="F53" s="2">
        <v>4</v>
      </c>
      <c r="G53" s="3">
        <v>23</v>
      </c>
      <c r="H53" s="4">
        <v>129</v>
      </c>
      <c r="I53" s="5">
        <v>181</v>
      </c>
      <c r="J53" s="2">
        <f t="shared" si="4"/>
        <v>333</v>
      </c>
      <c r="K53" s="2"/>
      <c r="L53" s="17"/>
      <c r="M53" s="2"/>
      <c r="N53" s="2"/>
      <c r="O53" s="2"/>
      <c r="P53" s="10"/>
    </row>
    <row r="54" ht="17" spans="1:16">
      <c r="A54" s="1" t="s">
        <v>93</v>
      </c>
      <c r="B54" s="1079"/>
      <c r="C54" s="2">
        <v>93</v>
      </c>
      <c r="D54" s="2">
        <v>49</v>
      </c>
      <c r="E54" s="2">
        <v>17</v>
      </c>
      <c r="F54" s="2">
        <v>3</v>
      </c>
      <c r="G54" s="3">
        <v>49</v>
      </c>
      <c r="H54" s="4">
        <v>112</v>
      </c>
      <c r="I54" s="5">
        <v>167</v>
      </c>
      <c r="J54" s="2">
        <f t="shared" si="4"/>
        <v>328</v>
      </c>
      <c r="K54" s="2"/>
      <c r="L54" s="17"/>
      <c r="M54" s="2"/>
      <c r="N54" s="2"/>
      <c r="O54" s="2"/>
      <c r="P54" s="10"/>
    </row>
    <row r="55" ht="17" spans="1:16">
      <c r="A55" s="1" t="s">
        <v>94</v>
      </c>
      <c r="B55" s="1080"/>
      <c r="C55" s="2">
        <v>98</v>
      </c>
      <c r="D55" s="2">
        <v>43</v>
      </c>
      <c r="E55" s="2">
        <v>14</v>
      </c>
      <c r="F55" s="2">
        <v>2</v>
      </c>
      <c r="G55" s="3">
        <v>22</v>
      </c>
      <c r="H55" s="4">
        <v>119</v>
      </c>
      <c r="I55" s="5">
        <v>179</v>
      </c>
      <c r="J55" s="2">
        <f t="shared" si="4"/>
        <v>320</v>
      </c>
      <c r="K55" s="2"/>
      <c r="L55" s="17"/>
      <c r="M55" s="2"/>
      <c r="N55" s="2"/>
      <c r="O55" s="2"/>
      <c r="P55" s="10"/>
    </row>
    <row r="56" ht="252" spans="1:16">
      <c r="A56" s="1" t="s">
        <v>95</v>
      </c>
      <c r="B56" s="1081"/>
      <c r="C56" s="2">
        <v>99</v>
      </c>
      <c r="D56" s="2">
        <v>48</v>
      </c>
      <c r="E56" s="2">
        <v>11</v>
      </c>
      <c r="F56" s="2">
        <v>1</v>
      </c>
      <c r="G56" s="3">
        <v>23</v>
      </c>
      <c r="H56" s="4">
        <v>114</v>
      </c>
      <c r="I56" s="5">
        <v>180</v>
      </c>
      <c r="J56" s="2">
        <f t="shared" si="4"/>
        <v>317</v>
      </c>
      <c r="K56" s="12" t="s">
        <v>96</v>
      </c>
      <c r="L56" s="17"/>
      <c r="M56" s="19">
        <v>76141174</v>
      </c>
      <c r="N56" s="14"/>
      <c r="O56" s="9"/>
      <c r="P56" s="10" t="s">
        <v>97</v>
      </c>
    </row>
    <row r="57" ht="17" spans="1:16">
      <c r="A57" s="1" t="s">
        <v>98</v>
      </c>
      <c r="B57" s="1082"/>
      <c r="C57" s="2">
        <v>93</v>
      </c>
      <c r="D57" s="2">
        <v>50</v>
      </c>
      <c r="E57" s="2">
        <v>21</v>
      </c>
      <c r="F57" s="2">
        <v>6</v>
      </c>
      <c r="G57" s="3">
        <v>52</v>
      </c>
      <c r="H57" s="4">
        <v>108</v>
      </c>
      <c r="I57" s="5">
        <v>156</v>
      </c>
      <c r="J57" s="2">
        <f t="shared" si="4"/>
        <v>316</v>
      </c>
      <c r="K57" s="2"/>
      <c r="L57" s="17"/>
      <c r="M57" s="2"/>
      <c r="N57" s="2"/>
      <c r="O57" s="2"/>
      <c r="P57" s="10"/>
    </row>
    <row r="58" ht="34" spans="1:16">
      <c r="A58" s="1" t="s">
        <v>99</v>
      </c>
      <c r="B58" s="1083"/>
      <c r="C58" s="2">
        <v>98</v>
      </c>
      <c r="D58" s="2">
        <v>42</v>
      </c>
      <c r="E58" s="2">
        <v>16</v>
      </c>
      <c r="F58" s="2">
        <v>3</v>
      </c>
      <c r="G58" s="3">
        <v>17</v>
      </c>
      <c r="H58" s="4">
        <v>119</v>
      </c>
      <c r="I58" s="5">
        <v>176</v>
      </c>
      <c r="J58" s="2">
        <f t="shared" si="4"/>
        <v>312</v>
      </c>
      <c r="K58" s="2"/>
      <c r="L58" s="17"/>
      <c r="M58" s="2"/>
      <c r="N58" s="2"/>
      <c r="O58" s="2"/>
      <c r="P58" s="10"/>
    </row>
    <row r="59" ht="17" spans="1:16">
      <c r="A59" s="1" t="s">
        <v>100</v>
      </c>
      <c r="B59" s="1084"/>
      <c r="C59" s="2">
        <v>100</v>
      </c>
      <c r="D59" s="2">
        <v>52</v>
      </c>
      <c r="E59" s="2">
        <v>11</v>
      </c>
      <c r="F59" s="2">
        <v>1</v>
      </c>
      <c r="G59" s="3">
        <v>18</v>
      </c>
      <c r="H59" s="4">
        <v>107</v>
      </c>
      <c r="I59" s="5">
        <v>174</v>
      </c>
      <c r="J59" s="2">
        <f t="shared" si="4"/>
        <v>299</v>
      </c>
      <c r="K59" s="2"/>
      <c r="L59" s="17"/>
      <c r="M59" s="2"/>
      <c r="N59" s="2"/>
      <c r="O59" s="2"/>
      <c r="P59" s="10"/>
    </row>
    <row r="60" ht="168" spans="1:16">
      <c r="A60" s="1" t="s">
        <v>101</v>
      </c>
      <c r="B60" s="1085"/>
      <c r="C60" s="2">
        <v>80</v>
      </c>
      <c r="D60" s="2">
        <v>70</v>
      </c>
      <c r="E60" s="2">
        <v>0</v>
      </c>
      <c r="F60" s="2">
        <v>10</v>
      </c>
      <c r="G60" s="3">
        <v>66</v>
      </c>
      <c r="H60" s="4">
        <v>77</v>
      </c>
      <c r="I60" s="5">
        <v>153</v>
      </c>
      <c r="J60" s="2">
        <f t="shared" si="4"/>
        <v>296</v>
      </c>
      <c r="K60" s="2"/>
      <c r="L60" s="2"/>
      <c r="M60" s="2"/>
      <c r="N60" s="14"/>
      <c r="O60" s="9"/>
      <c r="P60" s="10" t="s">
        <v>102</v>
      </c>
    </row>
    <row r="61" ht="34" spans="1:16">
      <c r="A61" s="1" t="s">
        <v>103</v>
      </c>
      <c r="B61" s="1086"/>
      <c r="C61" s="2">
        <v>100</v>
      </c>
      <c r="D61" s="2">
        <v>60</v>
      </c>
      <c r="E61" s="2">
        <v>8</v>
      </c>
      <c r="F61" s="2">
        <v>1</v>
      </c>
      <c r="G61" s="3">
        <v>22</v>
      </c>
      <c r="H61" s="4">
        <v>97</v>
      </c>
      <c r="I61" s="5">
        <v>171</v>
      </c>
      <c r="J61" s="2">
        <f t="shared" si="4"/>
        <v>290</v>
      </c>
      <c r="K61" s="2"/>
      <c r="L61" s="17"/>
      <c r="M61" s="19">
        <v>23124176</v>
      </c>
      <c r="N61" s="14"/>
      <c r="O61" s="2"/>
      <c r="P61" s="10" t="s">
        <v>104</v>
      </c>
    </row>
    <row r="62" ht="185" spans="1:16">
      <c r="A62" s="1" t="s">
        <v>105</v>
      </c>
      <c r="B62" s="1087"/>
      <c r="C62" s="2">
        <v>80</v>
      </c>
      <c r="D62" s="2">
        <v>55</v>
      </c>
      <c r="E62" s="2">
        <v>0</v>
      </c>
      <c r="F62" s="2">
        <v>30</v>
      </c>
      <c r="G62" s="3">
        <v>42</v>
      </c>
      <c r="H62" s="4">
        <v>83</v>
      </c>
      <c r="I62" s="5">
        <v>144</v>
      </c>
      <c r="J62" s="2">
        <f t="shared" si="4"/>
        <v>269</v>
      </c>
      <c r="K62" s="2"/>
      <c r="L62" s="2"/>
      <c r="M62" s="2"/>
      <c r="N62" s="2"/>
      <c r="O62" s="9"/>
      <c r="P62" s="10" t="s">
        <v>106</v>
      </c>
    </row>
    <row r="63" ht="101" spans="1:16">
      <c r="A63" s="1" t="s">
        <v>107</v>
      </c>
      <c r="B63" s="1088"/>
      <c r="C63" s="2">
        <v>90</v>
      </c>
      <c r="D63" s="2">
        <v>75</v>
      </c>
      <c r="E63" s="2">
        <v>0</v>
      </c>
      <c r="F63" s="2">
        <v>0</v>
      </c>
      <c r="G63" s="3">
        <v>38</v>
      </c>
      <c r="H63" s="4">
        <v>73</v>
      </c>
      <c r="I63" s="5">
        <v>157</v>
      </c>
      <c r="J63" s="2">
        <f t="shared" si="4"/>
        <v>268</v>
      </c>
      <c r="K63" s="2"/>
      <c r="L63" s="2"/>
      <c r="M63" s="2"/>
      <c r="N63" s="2"/>
      <c r="O63" s="9"/>
      <c r="P63" s="10" t="s">
        <v>108</v>
      </c>
    </row>
    <row r="64" ht="17" spans="1:16">
      <c r="A64" s="1" t="s">
        <v>109</v>
      </c>
      <c r="B64" s="1089"/>
      <c r="C64" s="2">
        <v>100</v>
      </c>
      <c r="D64" s="2">
        <v>53</v>
      </c>
      <c r="E64" s="2">
        <v>21</v>
      </c>
      <c r="F64" s="2">
        <v>6</v>
      </c>
      <c r="G64" s="3">
        <v>17</v>
      </c>
      <c r="H64" s="4">
        <v>101</v>
      </c>
      <c r="I64" s="5">
        <v>154</v>
      </c>
      <c r="J64" s="2">
        <f t="shared" si="4"/>
        <v>272</v>
      </c>
      <c r="K64" s="2"/>
      <c r="L64" s="17"/>
      <c r="M64" s="2"/>
      <c r="N64" s="2"/>
      <c r="O64" s="2"/>
      <c r="P64" s="10"/>
    </row>
    <row r="65" ht="101" spans="1:16">
      <c r="A65" s="1" t="s">
        <v>110</v>
      </c>
      <c r="B65" s="1090"/>
      <c r="C65" s="2">
        <v>85</v>
      </c>
      <c r="D65" s="2">
        <v>50</v>
      </c>
      <c r="E65" s="2">
        <v>20</v>
      </c>
      <c r="F65" s="2">
        <v>10</v>
      </c>
      <c r="G65" s="3">
        <v>16</v>
      </c>
      <c r="H65" s="4">
        <v>104</v>
      </c>
      <c r="I65" s="5">
        <v>152</v>
      </c>
      <c r="J65" s="2">
        <f t="shared" si="1"/>
        <v>272</v>
      </c>
      <c r="K65" s="12"/>
      <c r="L65" s="2"/>
      <c r="M65" s="2"/>
      <c r="N65" s="2"/>
      <c r="O65" s="2"/>
      <c r="P65" s="10" t="s">
        <v>111</v>
      </c>
    </row>
    <row r="66" ht="34" spans="1:16">
      <c r="A66" s="1" t="s">
        <v>112</v>
      </c>
      <c r="B66" s="1091"/>
      <c r="C66" s="2">
        <v>100</v>
      </c>
      <c r="D66" s="2">
        <v>65</v>
      </c>
      <c r="E66" s="2">
        <v>11</v>
      </c>
      <c r="F66" s="2">
        <v>1</v>
      </c>
      <c r="G66" s="3">
        <v>15</v>
      </c>
      <c r="H66" s="4">
        <v>89</v>
      </c>
      <c r="I66" s="5">
        <v>164</v>
      </c>
      <c r="J66" s="2">
        <f t="shared" si="1"/>
        <v>268</v>
      </c>
      <c r="K66" s="2"/>
      <c r="L66" s="17"/>
      <c r="M66" s="2"/>
      <c r="N66" s="2"/>
      <c r="O66" s="2"/>
      <c r="P66" s="10"/>
    </row>
    <row r="67" ht="34" spans="1:16">
      <c r="A67" s="1" t="s">
        <v>113</v>
      </c>
      <c r="B67" s="1092"/>
      <c r="C67" s="2">
        <v>75</v>
      </c>
      <c r="D67" s="2">
        <v>70</v>
      </c>
      <c r="E67" s="2">
        <v>50</v>
      </c>
      <c r="F67" s="2">
        <v>10</v>
      </c>
      <c r="G67" s="3">
        <v>83</v>
      </c>
      <c r="H67" s="4">
        <v>81</v>
      </c>
      <c r="I67" s="5">
        <v>100</v>
      </c>
      <c r="J67" s="2">
        <f t="shared" si="1"/>
        <v>264</v>
      </c>
      <c r="K67" s="12"/>
      <c r="L67" s="2"/>
      <c r="M67" s="2"/>
      <c r="N67" s="2"/>
      <c r="O67" s="2"/>
      <c r="P67" s="10" t="s">
        <v>114</v>
      </c>
    </row>
    <row r="68" ht="17" spans="1:16">
      <c r="A68" s="1" t="s">
        <v>115</v>
      </c>
      <c r="B68" s="1093"/>
      <c r="C68" s="2">
        <v>100</v>
      </c>
      <c r="D68" s="2">
        <v>67</v>
      </c>
      <c r="E68" s="2">
        <v>16</v>
      </c>
      <c r="F68" s="2">
        <v>3</v>
      </c>
      <c r="G68" s="3">
        <v>21</v>
      </c>
      <c r="H68" s="4">
        <v>85</v>
      </c>
      <c r="I68" s="5">
        <v>154</v>
      </c>
      <c r="J68" s="2">
        <f t="shared" si="1"/>
        <v>260</v>
      </c>
      <c r="K68" s="2"/>
      <c r="L68" s="17"/>
      <c r="M68" s="2"/>
      <c r="N68" s="2"/>
      <c r="O68" s="2"/>
      <c r="P68" s="10"/>
    </row>
    <row r="69" ht="17" spans="1:16">
      <c r="A69" s="1" t="s">
        <v>116</v>
      </c>
      <c r="B69" s="1094"/>
      <c r="C69" s="2">
        <v>99</v>
      </c>
      <c r="D69" s="2">
        <v>33</v>
      </c>
      <c r="E69" s="2">
        <v>38</v>
      </c>
      <c r="F69" s="2">
        <v>21</v>
      </c>
      <c r="G69" s="3">
        <v>18</v>
      </c>
      <c r="H69" s="4">
        <v>110</v>
      </c>
      <c r="I69" s="5">
        <v>130</v>
      </c>
      <c r="J69" s="2">
        <f t="shared" si="1"/>
        <v>258</v>
      </c>
      <c r="K69" s="2"/>
      <c r="L69" s="17"/>
      <c r="M69" s="2"/>
      <c r="N69" s="2"/>
      <c r="O69" s="2"/>
      <c r="P69" s="10"/>
    </row>
    <row r="70" ht="17" spans="1:16">
      <c r="A70" s="1" t="s">
        <v>117</v>
      </c>
      <c r="B70" s="1095"/>
      <c r="C70" s="2">
        <v>91</v>
      </c>
      <c r="D70" s="2">
        <v>74</v>
      </c>
      <c r="E70" s="2">
        <v>26</v>
      </c>
      <c r="F70" s="2">
        <v>10</v>
      </c>
      <c r="G70" s="3">
        <v>46</v>
      </c>
      <c r="H70" s="4">
        <v>78</v>
      </c>
      <c r="I70" s="5">
        <v>126</v>
      </c>
      <c r="J70" s="2">
        <f t="shared" si="1"/>
        <v>250</v>
      </c>
      <c r="K70" s="2"/>
      <c r="L70" s="2"/>
      <c r="M70" s="12"/>
      <c r="N70" s="2"/>
      <c r="O70" s="2"/>
      <c r="P70" s="10" t="s">
        <v>118</v>
      </c>
    </row>
    <row r="71" ht="286" spans="1:16">
      <c r="A71" s="1" t="s">
        <v>119</v>
      </c>
      <c r="B71" s="1096"/>
      <c r="C71" s="2">
        <v>90</v>
      </c>
      <c r="D71" s="2">
        <v>90</v>
      </c>
      <c r="E71" s="2">
        <v>0</v>
      </c>
      <c r="F71" s="2">
        <v>2</v>
      </c>
      <c r="G71" s="3">
        <v>56</v>
      </c>
      <c r="H71" s="4">
        <v>48</v>
      </c>
      <c r="I71" s="5">
        <v>142</v>
      </c>
      <c r="J71" s="2">
        <f t="shared" si="1"/>
        <v>246</v>
      </c>
      <c r="K71" s="2"/>
      <c r="L71" s="2"/>
      <c r="M71" s="19">
        <v>68206246</v>
      </c>
      <c r="N71" s="2"/>
      <c r="O71" s="9"/>
      <c r="P71" s="10" t="s">
        <v>120</v>
      </c>
    </row>
    <row r="72" ht="152" spans="1:16">
      <c r="A72" s="1" t="s">
        <v>121</v>
      </c>
      <c r="B72" s="1097"/>
      <c r="C72" s="2">
        <v>100</v>
      </c>
      <c r="D72" s="2">
        <v>70</v>
      </c>
      <c r="E72" s="2">
        <v>0</v>
      </c>
      <c r="F72" s="2">
        <v>0</v>
      </c>
      <c r="G72" s="3">
        <v>0</v>
      </c>
      <c r="H72" s="4">
        <v>78</v>
      </c>
      <c r="I72" s="5">
        <v>162</v>
      </c>
      <c r="J72" s="2">
        <f t="shared" si="1"/>
        <v>240</v>
      </c>
      <c r="K72" s="2"/>
      <c r="L72" s="2"/>
      <c r="M72" s="2"/>
      <c r="N72" s="2"/>
      <c r="O72" s="9"/>
      <c r="P72" s="10" t="s">
        <v>122</v>
      </c>
    </row>
    <row r="73" ht="34" spans="1:16">
      <c r="A73" s="1" t="s">
        <v>123</v>
      </c>
      <c r="B73" s="1098"/>
      <c r="C73" s="2">
        <v>85</v>
      </c>
      <c r="D73" s="2">
        <v>70</v>
      </c>
      <c r="E73" s="2">
        <v>45</v>
      </c>
      <c r="F73" s="2">
        <v>10</v>
      </c>
      <c r="G73" s="3">
        <v>53</v>
      </c>
      <c r="H73" s="4">
        <v>78</v>
      </c>
      <c r="I73" s="5">
        <v>107</v>
      </c>
      <c r="J73" s="2">
        <f t="shared" ref="J73" si="5">G73+H73+I73</f>
        <v>238</v>
      </c>
      <c r="K73" s="12" t="s">
        <v>60</v>
      </c>
      <c r="L73" s="2"/>
      <c r="M73" s="2"/>
      <c r="N73" s="2"/>
      <c r="O73" s="2"/>
      <c r="P73" s="10" t="s">
        <v>124</v>
      </c>
    </row>
    <row r="74" ht="34" spans="1:16">
      <c r="A74" s="1" t="s">
        <v>125</v>
      </c>
      <c r="B74" s="1099"/>
      <c r="C74" s="2">
        <v>80</v>
      </c>
      <c r="D74" s="2">
        <v>75</v>
      </c>
      <c r="E74" s="2">
        <v>50</v>
      </c>
      <c r="F74" s="2">
        <v>15</v>
      </c>
      <c r="G74" s="3">
        <v>69</v>
      </c>
      <c r="H74" s="4">
        <v>70</v>
      </c>
      <c r="I74" s="5">
        <v>94</v>
      </c>
      <c r="J74" s="2">
        <f t="shared" ref="J74:J89" si="6">G74+H74+I74</f>
        <v>233</v>
      </c>
      <c r="K74" s="12"/>
      <c r="L74" s="2"/>
      <c r="M74" s="2"/>
      <c r="N74" s="14"/>
      <c r="O74" s="2"/>
      <c r="P74" s="10" t="s">
        <v>126</v>
      </c>
    </row>
    <row r="75" ht="34" spans="1:16">
      <c r="A75" s="1100" t="s">
        <v>127</v>
      </c>
      <c r="B75" s="1101"/>
      <c r="C75" s="2">
        <v>80</v>
      </c>
      <c r="D75" s="2">
        <v>75</v>
      </c>
      <c r="E75" s="2">
        <v>55</v>
      </c>
      <c r="F75" s="2">
        <v>15</v>
      </c>
      <c r="G75" s="3">
        <v>69</v>
      </c>
      <c r="H75" s="4">
        <v>70</v>
      </c>
      <c r="I75" s="5">
        <v>89</v>
      </c>
      <c r="J75" s="2">
        <f t="shared" si="6"/>
        <v>228</v>
      </c>
      <c r="K75" s="12"/>
      <c r="L75" s="2"/>
      <c r="M75" s="2"/>
      <c r="N75" s="2"/>
      <c r="O75" s="2"/>
      <c r="P75" s="10" t="s">
        <v>128</v>
      </c>
    </row>
    <row r="76" ht="17" spans="1:16">
      <c r="A76" s="1" t="s">
        <v>129</v>
      </c>
      <c r="B76" s="1102"/>
      <c r="C76" s="2">
        <v>90</v>
      </c>
      <c r="D76" s="2">
        <v>65</v>
      </c>
      <c r="E76" s="2">
        <v>30</v>
      </c>
      <c r="F76" s="2">
        <v>15</v>
      </c>
      <c r="G76" s="3">
        <v>18</v>
      </c>
      <c r="H76" s="4">
        <v>80</v>
      </c>
      <c r="I76" s="5">
        <v>123</v>
      </c>
      <c r="J76" s="2">
        <f t="shared" si="6"/>
        <v>221</v>
      </c>
      <c r="K76" s="12"/>
      <c r="L76" s="2"/>
      <c r="M76" s="2"/>
      <c r="N76" s="2"/>
      <c r="O76" s="2"/>
      <c r="P76" s="10" t="s">
        <v>130</v>
      </c>
    </row>
    <row r="77" ht="17" spans="1:16">
      <c r="A77" s="1" t="s">
        <v>131</v>
      </c>
      <c r="B77" s="1103"/>
      <c r="C77" s="2">
        <v>100</v>
      </c>
      <c r="D77" s="2">
        <v>68</v>
      </c>
      <c r="E77" s="2">
        <v>32</v>
      </c>
      <c r="F77" s="2">
        <v>20</v>
      </c>
      <c r="G77" s="3">
        <v>20</v>
      </c>
      <c r="H77" s="4">
        <v>74</v>
      </c>
      <c r="I77" s="5">
        <v>116</v>
      </c>
      <c r="J77" s="2">
        <f t="shared" si="6"/>
        <v>210</v>
      </c>
      <c r="K77" s="2"/>
      <c r="L77" s="17"/>
      <c r="M77" s="2"/>
      <c r="N77" s="2"/>
      <c r="O77" s="2"/>
      <c r="P77" s="10"/>
    </row>
    <row r="78" ht="135" spans="1:16">
      <c r="A78" s="1" t="s">
        <v>132</v>
      </c>
      <c r="B78" s="1104"/>
      <c r="C78" s="2">
        <v>80</v>
      </c>
      <c r="D78" s="2">
        <v>55</v>
      </c>
      <c r="E78" s="2">
        <v>0</v>
      </c>
      <c r="F78" s="2">
        <v>50</v>
      </c>
      <c r="G78" s="3">
        <v>28</v>
      </c>
      <c r="H78" s="4">
        <v>63</v>
      </c>
      <c r="I78" s="5">
        <v>115</v>
      </c>
      <c r="J78" s="2">
        <f t="shared" si="6"/>
        <v>206</v>
      </c>
      <c r="K78" s="2"/>
      <c r="L78" s="2"/>
      <c r="M78" s="2"/>
      <c r="N78" s="2"/>
      <c r="O78" s="9"/>
      <c r="P78" s="10" t="s">
        <v>133</v>
      </c>
    </row>
    <row r="79" ht="202" spans="1:16">
      <c r="A79" s="1" t="s">
        <v>134</v>
      </c>
      <c r="B79" s="1105"/>
      <c r="C79" s="2">
        <v>72</v>
      </c>
      <c r="D79" s="2">
        <v>45</v>
      </c>
      <c r="E79" s="2">
        <v>0</v>
      </c>
      <c r="F79" s="2">
        <v>60</v>
      </c>
      <c r="G79" s="3">
        <v>34</v>
      </c>
      <c r="H79" s="4">
        <v>64</v>
      </c>
      <c r="I79" s="5">
        <v>106</v>
      </c>
      <c r="J79" s="2">
        <f t="shared" si="6"/>
        <v>204</v>
      </c>
      <c r="K79" s="2"/>
      <c r="L79" s="2"/>
      <c r="M79" s="2"/>
      <c r="N79" s="2"/>
      <c r="O79" s="9"/>
      <c r="P79" s="10" t="s">
        <v>135</v>
      </c>
    </row>
    <row r="80" ht="219" spans="1:16">
      <c r="A80" s="1" t="s">
        <v>136</v>
      </c>
      <c r="B80" s="1106"/>
      <c r="C80" s="2">
        <v>80</v>
      </c>
      <c r="D80" s="2">
        <v>60</v>
      </c>
      <c r="E80" s="2">
        <v>0</v>
      </c>
      <c r="F80" s="2">
        <v>50</v>
      </c>
      <c r="G80" s="3">
        <v>33</v>
      </c>
      <c r="H80" s="4">
        <v>58</v>
      </c>
      <c r="I80" s="5">
        <v>112</v>
      </c>
      <c r="J80" s="2">
        <f t="shared" si="6"/>
        <v>203</v>
      </c>
      <c r="K80" s="2"/>
      <c r="L80" s="2"/>
      <c r="M80" s="19">
        <v>23124176</v>
      </c>
      <c r="N80" s="2"/>
      <c r="O80" s="9"/>
      <c r="P80" s="10" t="s">
        <v>137</v>
      </c>
    </row>
    <row r="81" ht="34" spans="1:16">
      <c r="A81" s="1" t="s">
        <v>138</v>
      </c>
      <c r="B81" s="1107"/>
      <c r="C81" s="2">
        <v>95</v>
      </c>
      <c r="D81" s="2">
        <v>75</v>
      </c>
      <c r="E81" s="2">
        <v>35</v>
      </c>
      <c r="F81" s="2">
        <v>15</v>
      </c>
      <c r="G81" s="3">
        <v>6</v>
      </c>
      <c r="H81" s="4">
        <v>67</v>
      </c>
      <c r="I81" s="5">
        <v>111</v>
      </c>
      <c r="J81" s="2">
        <f t="shared" si="6"/>
        <v>184</v>
      </c>
      <c r="K81" s="12"/>
      <c r="L81" s="2"/>
      <c r="M81" s="2"/>
      <c r="N81" s="2"/>
      <c r="O81" s="2"/>
      <c r="P81" s="10" t="s">
        <v>139</v>
      </c>
    </row>
    <row r="82" ht="17" spans="1:16">
      <c r="A82" s="1" t="s">
        <v>140</v>
      </c>
      <c r="B82" s="1108"/>
      <c r="C82" s="2">
        <v>100</v>
      </c>
      <c r="D82" s="2">
        <v>52</v>
      </c>
      <c r="E82" s="2">
        <v>46</v>
      </c>
      <c r="F82" s="2">
        <v>43</v>
      </c>
      <c r="G82" s="3">
        <v>19</v>
      </c>
      <c r="H82" s="4">
        <v>72</v>
      </c>
      <c r="I82" s="5">
        <v>87</v>
      </c>
      <c r="J82" s="2">
        <f t="shared" si="6"/>
        <v>178</v>
      </c>
      <c r="K82" s="2"/>
      <c r="L82" s="17"/>
      <c r="M82" s="2"/>
      <c r="N82" s="2"/>
      <c r="O82" s="2"/>
      <c r="P82" s="10"/>
    </row>
    <row r="83" ht="17" spans="1:16">
      <c r="A83" s="1" t="s">
        <v>141</v>
      </c>
      <c r="B83" s="1109"/>
      <c r="C83" s="2">
        <v>100</v>
      </c>
      <c r="D83" s="2">
        <v>85</v>
      </c>
      <c r="E83" s="2">
        <v>35</v>
      </c>
      <c r="F83" s="2">
        <v>0</v>
      </c>
      <c r="G83" s="3">
        <v>0</v>
      </c>
      <c r="H83" s="4">
        <v>61</v>
      </c>
      <c r="I83" s="5">
        <v>116</v>
      </c>
      <c r="J83" s="2">
        <f t="shared" si="6"/>
        <v>177</v>
      </c>
      <c r="K83" s="12"/>
      <c r="L83" s="2"/>
      <c r="M83" s="2"/>
      <c r="N83" s="2"/>
      <c r="O83" s="2"/>
      <c r="P83" s="10" t="s">
        <v>142</v>
      </c>
    </row>
    <row r="84" ht="17" spans="1:16">
      <c r="A84" s="1" t="s">
        <v>143</v>
      </c>
      <c r="B84" s="1110"/>
      <c r="C84" s="2">
        <v>100</v>
      </c>
      <c r="D84" s="2">
        <v>95</v>
      </c>
      <c r="E84" s="2">
        <v>50</v>
      </c>
      <c r="F84" s="2">
        <v>0</v>
      </c>
      <c r="G84" s="3">
        <v>25</v>
      </c>
      <c r="H84" s="4">
        <v>50</v>
      </c>
      <c r="I84" s="5">
        <v>95</v>
      </c>
      <c r="J84" s="2">
        <f t="shared" si="6"/>
        <v>170</v>
      </c>
      <c r="K84" s="12"/>
      <c r="L84" s="2"/>
      <c r="M84" s="2"/>
      <c r="N84" s="2"/>
      <c r="O84" s="2"/>
      <c r="P84" s="10" t="s">
        <v>144</v>
      </c>
    </row>
    <row r="85" ht="17" spans="1:16">
      <c r="A85" s="1" t="s">
        <v>145</v>
      </c>
      <c r="B85" s="1111"/>
      <c r="C85" s="2">
        <v>100</v>
      </c>
      <c r="D85" s="2">
        <v>88</v>
      </c>
      <c r="E85" s="2">
        <v>28</v>
      </c>
      <c r="F85" s="2">
        <v>16</v>
      </c>
      <c r="G85" s="3">
        <v>0</v>
      </c>
      <c r="H85" s="4">
        <v>51</v>
      </c>
      <c r="I85" s="5">
        <v>113</v>
      </c>
      <c r="J85" s="2">
        <f t="shared" si="6"/>
        <v>164</v>
      </c>
      <c r="K85" s="2"/>
      <c r="L85" s="2"/>
      <c r="M85" s="12"/>
      <c r="N85" s="2"/>
      <c r="O85" s="2"/>
      <c r="P85" s="10" t="s">
        <v>146</v>
      </c>
    </row>
    <row r="86" ht="17" spans="1:16">
      <c r="A86" s="1" t="s">
        <v>147</v>
      </c>
      <c r="B86" s="1112"/>
      <c r="C86" s="2">
        <v>94</v>
      </c>
      <c r="D86" s="2">
        <v>58</v>
      </c>
      <c r="E86" s="2">
        <v>54</v>
      </c>
      <c r="F86" s="2">
        <v>60</v>
      </c>
      <c r="G86" s="3">
        <v>33</v>
      </c>
      <c r="H86" s="4">
        <v>55</v>
      </c>
      <c r="I86" s="5">
        <v>61</v>
      </c>
      <c r="J86" s="2">
        <f t="shared" si="6"/>
        <v>149</v>
      </c>
      <c r="K86" s="2"/>
      <c r="L86" s="17"/>
      <c r="M86" s="2"/>
      <c r="N86" s="2"/>
      <c r="O86" s="2"/>
      <c r="P86" s="10"/>
    </row>
    <row r="87" ht="51" spans="1:16">
      <c r="A87" s="1" t="s">
        <v>148</v>
      </c>
      <c r="B87" s="1113"/>
      <c r="C87" s="2">
        <v>100</v>
      </c>
      <c r="D87" s="2">
        <v>85</v>
      </c>
      <c r="E87" s="2">
        <v>40</v>
      </c>
      <c r="F87" s="2">
        <v>20</v>
      </c>
      <c r="G87" s="3">
        <v>0</v>
      </c>
      <c r="H87" s="4">
        <v>52</v>
      </c>
      <c r="I87" s="5">
        <v>96</v>
      </c>
      <c r="J87" s="2">
        <f t="shared" si="6"/>
        <v>148</v>
      </c>
      <c r="K87" s="12"/>
      <c r="L87" s="2"/>
      <c r="M87" s="2"/>
      <c r="N87" s="2"/>
      <c r="O87" s="2"/>
      <c r="P87" s="10" t="s">
        <v>149</v>
      </c>
    </row>
    <row r="88" ht="34" spans="1:16">
      <c r="A88" s="1" t="s">
        <v>88</v>
      </c>
      <c r="B88" s="1114"/>
      <c r="C88" s="2">
        <v>100</v>
      </c>
      <c r="D88" s="2">
        <v>100</v>
      </c>
      <c r="E88" s="2">
        <v>65</v>
      </c>
      <c r="F88" s="2">
        <v>15</v>
      </c>
      <c r="G88" s="3">
        <v>26</v>
      </c>
      <c r="H88" s="4">
        <v>40</v>
      </c>
      <c r="I88" s="5">
        <v>71</v>
      </c>
      <c r="J88" s="2">
        <f t="shared" si="6"/>
        <v>137</v>
      </c>
      <c r="K88" s="12"/>
      <c r="L88" s="2"/>
      <c r="M88" s="2"/>
      <c r="N88" s="2"/>
      <c r="O88" s="2"/>
      <c r="P88" s="10" t="s">
        <v>150</v>
      </c>
    </row>
    <row r="89" ht="17" spans="1:16">
      <c r="A89" s="1" t="s">
        <v>151</v>
      </c>
      <c r="B89" s="1115"/>
      <c r="C89" s="2">
        <v>100</v>
      </c>
      <c r="D89" s="2">
        <v>95</v>
      </c>
      <c r="E89" s="2">
        <v>50</v>
      </c>
      <c r="F89" s="2">
        <v>25</v>
      </c>
      <c r="G89" s="3">
        <v>18</v>
      </c>
      <c r="H89" s="4">
        <v>38</v>
      </c>
      <c r="I89" s="5">
        <v>79</v>
      </c>
      <c r="J89" s="2">
        <f t="shared" si="6"/>
        <v>135</v>
      </c>
      <c r="K89" s="12"/>
      <c r="L89" s="2"/>
      <c r="M89" s="2"/>
      <c r="N89" s="2"/>
      <c r="O89" s="2"/>
      <c r="P89" s="10" t="s">
        <v>152</v>
      </c>
    </row>
    <row r="90" ht="17" spans="1:16">
      <c r="A90" s="1" t="s">
        <v>153</v>
      </c>
      <c r="B90" s="1116"/>
      <c r="C90" s="2">
        <v>100</v>
      </c>
      <c r="D90" s="2">
        <v>77</v>
      </c>
      <c r="E90" s="2">
        <v>50</v>
      </c>
      <c r="F90" s="2">
        <v>62</v>
      </c>
      <c r="G90" s="3">
        <v>28</v>
      </c>
      <c r="H90" s="4">
        <v>41</v>
      </c>
      <c r="I90" s="5">
        <v>56</v>
      </c>
      <c r="J90" s="2">
        <f t="shared" ref="J90:J96" si="7">G90+H90+I90</f>
        <v>125</v>
      </c>
      <c r="K90" s="2"/>
      <c r="L90" s="17"/>
      <c r="M90" s="2"/>
      <c r="N90" s="2"/>
      <c r="O90" s="2"/>
      <c r="P90" s="10"/>
    </row>
    <row r="91" ht="17" spans="1:16">
      <c r="A91" s="1" t="s">
        <v>154</v>
      </c>
      <c r="B91" s="1117"/>
      <c r="C91" s="2">
        <v>100</v>
      </c>
      <c r="D91" s="2">
        <v>64</v>
      </c>
      <c r="E91" s="2">
        <v>56</v>
      </c>
      <c r="F91" s="2">
        <v>68</v>
      </c>
      <c r="G91" s="3">
        <v>19</v>
      </c>
      <c r="H91" s="4">
        <v>44</v>
      </c>
      <c r="I91" s="5">
        <v>51</v>
      </c>
      <c r="J91" s="2">
        <f t="shared" si="7"/>
        <v>114</v>
      </c>
      <c r="K91" s="2"/>
      <c r="L91" s="17"/>
      <c r="M91" s="2"/>
      <c r="N91" s="2"/>
      <c r="O91" s="2"/>
      <c r="P91" s="10"/>
    </row>
    <row r="92" ht="17" spans="1:16">
      <c r="A92" s="1" t="s">
        <v>155</v>
      </c>
      <c r="B92" s="1118"/>
      <c r="C92" s="2">
        <v>100</v>
      </c>
      <c r="D92" s="2">
        <v>82</v>
      </c>
      <c r="E92" s="2">
        <v>51</v>
      </c>
      <c r="F92" s="2">
        <v>64</v>
      </c>
      <c r="G92" s="3">
        <v>20</v>
      </c>
      <c r="H92" s="4">
        <v>35</v>
      </c>
      <c r="I92" s="5">
        <v>52</v>
      </c>
      <c r="J92" s="2">
        <f t="shared" si="7"/>
        <v>107</v>
      </c>
      <c r="K92" s="2"/>
      <c r="L92" s="17"/>
      <c r="M92" s="2"/>
      <c r="N92" s="2"/>
      <c r="O92" s="2"/>
      <c r="P92" s="10"/>
    </row>
    <row r="93" ht="17" spans="1:16">
      <c r="A93" s="1" t="s">
        <v>156</v>
      </c>
      <c r="B93" s="1119"/>
      <c r="C93" s="2"/>
      <c r="D93" s="2"/>
      <c r="E93" s="2"/>
      <c r="F93" s="2"/>
      <c r="G93" s="3"/>
      <c r="H93" s="4"/>
      <c r="I93" s="5"/>
      <c r="J93" s="2"/>
      <c r="K93" s="2"/>
      <c r="L93" s="2"/>
      <c r="M93" s="2"/>
      <c r="N93" s="14"/>
      <c r="O93" s="2"/>
      <c r="P93" s="10" t="s">
        <v>157</v>
      </c>
    </row>
    <row r="94" ht="17" spans="1:16">
      <c r="A94" s="1" t="s">
        <v>158</v>
      </c>
      <c r="B94" s="1120"/>
      <c r="C94" s="2">
        <v>100</v>
      </c>
      <c r="D94" s="2">
        <v>84</v>
      </c>
      <c r="E94" s="2">
        <v>51</v>
      </c>
      <c r="F94" s="2">
        <v>68</v>
      </c>
      <c r="G94" s="3">
        <v>16</v>
      </c>
      <c r="H94" s="4">
        <v>31</v>
      </c>
      <c r="I94" s="5">
        <v>48</v>
      </c>
      <c r="J94" s="2">
        <f t="shared" si="7"/>
        <v>95</v>
      </c>
      <c r="K94" s="2"/>
      <c r="L94" s="17"/>
      <c r="M94" s="2"/>
      <c r="N94" s="2"/>
      <c r="O94" s="2"/>
      <c r="P94" s="10"/>
    </row>
    <row r="95" ht="17" spans="1:16">
      <c r="A95" s="1" t="s">
        <v>159</v>
      </c>
      <c r="B95" s="1121"/>
      <c r="C95" s="2">
        <v>100</v>
      </c>
      <c r="D95" s="2">
        <v>86</v>
      </c>
      <c r="E95" s="2">
        <v>54</v>
      </c>
      <c r="F95" s="2">
        <v>78</v>
      </c>
      <c r="G95" s="3">
        <v>19</v>
      </c>
      <c r="H95" s="4">
        <v>24</v>
      </c>
      <c r="I95" s="5">
        <v>36</v>
      </c>
      <c r="J95" s="2">
        <f t="shared" si="7"/>
        <v>79</v>
      </c>
      <c r="K95" s="2"/>
      <c r="L95" s="17"/>
      <c r="M95" s="2"/>
      <c r="N95" s="2"/>
      <c r="O95" s="2"/>
      <c r="P95" s="10"/>
    </row>
    <row r="96" ht="17" spans="1:16">
      <c r="A96" s="1" t="s">
        <v>160</v>
      </c>
      <c r="B96" s="1122"/>
      <c r="C96" s="2">
        <v>100</v>
      </c>
      <c r="D96" s="2">
        <v>89</v>
      </c>
      <c r="E96" s="2">
        <v>54</v>
      </c>
      <c r="F96" s="2">
        <v>79</v>
      </c>
      <c r="G96" s="3">
        <v>15</v>
      </c>
      <c r="H96" s="4">
        <v>20</v>
      </c>
      <c r="I96" s="5">
        <v>35</v>
      </c>
      <c r="J96" s="2">
        <f t="shared" si="7"/>
        <v>70</v>
      </c>
      <c r="K96" s="2"/>
      <c r="L96" s="17"/>
      <c r="M96" s="2"/>
      <c r="N96" s="2"/>
      <c r="O96" s="2"/>
      <c r="P96" s="10"/>
    </row>
  </sheetData>
  <mergeCells count="2">
    <mergeCell ref="C1:F1"/>
    <mergeCell ref="G1:I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186"/>
  <sheetViews>
    <sheetView zoomScale="80" zoomScaleNormal="80" workbookViewId="0">
      <pane xSplit="2" ySplit="1" topLeftCell="C2" activePane="bottomRight" state="frozen"/>
      <selection/>
      <selection pane="topRight"/>
      <selection pane="bottomLeft"/>
      <selection pane="bottomRight" activeCell="A2" sqref="A2"/>
    </sheetView>
  </sheetViews>
  <sheetFormatPr defaultColWidth="9" defaultRowHeight="16.8"/>
  <cols>
    <col min="1" max="1" width="9" style="350" customWidth="1"/>
    <col min="2" max="2" width="6.6875" style="351" customWidth="1"/>
    <col min="3" max="3" width="4.10714285714286" style="351" customWidth="1"/>
    <col min="4" max="4" width="4.4375" style="351" customWidth="1"/>
    <col min="5" max="5" width="4.66071428571429" style="351" customWidth="1"/>
    <col min="6" max="6" width="3.22321428571429" style="351" customWidth="1"/>
    <col min="7" max="7" width="6.875" style="352" customWidth="1"/>
    <col min="8" max="8" width="6.875" style="353" customWidth="1"/>
    <col min="9" max="9" width="6.875" style="824" customWidth="1"/>
    <col min="10" max="10" width="6.5" style="351" customWidth="1"/>
    <col min="11" max="11" width="16.1785714285714" style="351" customWidth="1"/>
    <col min="12" max="12" width="24.5535714285714" style="351" customWidth="1"/>
    <col min="13" max="13" width="30.1339285714286" style="350" customWidth="1"/>
    <col min="14" max="14" width="30.1339285714286" style="351" customWidth="1"/>
    <col min="15" max="15" width="21.2053571428571" style="351" customWidth="1"/>
    <col min="16" max="16" width="188.776785714286" style="355" customWidth="1"/>
    <col min="17" max="16384" width="8.88392857142857" style="351"/>
  </cols>
  <sheetData>
    <row r="1" s="350" customFormat="1" ht="43" customHeight="1" spans="1:16">
      <c r="A1" s="825" t="s">
        <v>0</v>
      </c>
      <c r="B1" s="825" t="s">
        <v>1</v>
      </c>
      <c r="C1" s="826" t="s">
        <v>2</v>
      </c>
      <c r="D1" s="826"/>
      <c r="E1" s="826"/>
      <c r="F1" s="826"/>
      <c r="G1" s="826" t="s">
        <v>3</v>
      </c>
      <c r="H1" s="826"/>
      <c r="I1" s="826"/>
      <c r="J1" s="826"/>
      <c r="K1" s="826" t="s">
        <v>4</v>
      </c>
      <c r="L1" s="826" t="s">
        <v>5</v>
      </c>
      <c r="M1" s="826" t="s">
        <v>6</v>
      </c>
      <c r="N1" s="826" t="s">
        <v>7</v>
      </c>
      <c r="O1" s="826" t="s">
        <v>8</v>
      </c>
      <c r="P1" s="827" t="s">
        <v>9</v>
      </c>
    </row>
    <row r="2" ht="31" customHeight="1" spans="1:16">
      <c r="A2" s="1" t="s">
        <v>0</v>
      </c>
      <c r="B2" s="828"/>
      <c r="C2" s="828" t="s">
        <v>10</v>
      </c>
      <c r="D2" s="828" t="s">
        <v>11</v>
      </c>
      <c r="E2" s="828" t="s">
        <v>161</v>
      </c>
      <c r="F2" s="828" t="s">
        <v>13</v>
      </c>
      <c r="G2" s="829" t="s">
        <v>14</v>
      </c>
      <c r="H2" s="830" t="s">
        <v>15</v>
      </c>
      <c r="I2" s="831" t="s">
        <v>16</v>
      </c>
      <c r="J2" s="828" t="s">
        <v>17</v>
      </c>
      <c r="K2" s="832"/>
      <c r="L2" s="828"/>
      <c r="M2" s="825"/>
      <c r="N2" s="828"/>
      <c r="O2" s="828"/>
      <c r="P2" s="833"/>
    </row>
    <row r="3" ht="17" spans="1:16">
      <c r="A3" s="825" t="s">
        <v>162</v>
      </c>
      <c r="B3" s="834"/>
      <c r="C3" s="828">
        <v>1</v>
      </c>
      <c r="D3" s="828">
        <v>11</v>
      </c>
      <c r="E3" s="828">
        <v>9</v>
      </c>
      <c r="F3" s="828">
        <v>0</v>
      </c>
      <c r="G3" s="829">
        <v>248</v>
      </c>
      <c r="H3" s="830">
        <v>235</v>
      </c>
      <c r="I3" s="835">
        <v>230</v>
      </c>
      <c r="J3" s="828">
        <f t="shared" ref="J3:J49" si="0">G3+H3+I3</f>
        <v>713</v>
      </c>
      <c r="K3" s="828"/>
      <c r="L3" s="836"/>
      <c r="M3" s="825"/>
      <c r="N3" s="828"/>
      <c r="O3" s="828"/>
      <c r="P3" s="833"/>
    </row>
    <row r="4" ht="17" spans="1:16">
      <c r="A4" s="825" t="s">
        <v>163</v>
      </c>
      <c r="B4" s="837"/>
      <c r="C4" s="828">
        <v>0</v>
      </c>
      <c r="D4" s="828">
        <v>25</v>
      </c>
      <c r="E4" s="828">
        <v>0</v>
      </c>
      <c r="F4" s="828">
        <v>0</v>
      </c>
      <c r="G4" s="829">
        <v>249</v>
      </c>
      <c r="H4" s="830">
        <v>211</v>
      </c>
      <c r="I4" s="835">
        <v>227</v>
      </c>
      <c r="J4" s="828">
        <f t="shared" si="0"/>
        <v>687</v>
      </c>
      <c r="K4" s="832"/>
      <c r="L4" s="828"/>
      <c r="M4" s="825"/>
      <c r="N4" s="828"/>
      <c r="O4" s="828"/>
      <c r="P4" s="833" t="s">
        <v>164</v>
      </c>
    </row>
    <row r="5" ht="17" spans="1:16">
      <c r="A5" s="825" t="s">
        <v>165</v>
      </c>
      <c r="B5" s="838"/>
      <c r="C5" s="828">
        <v>2</v>
      </c>
      <c r="D5" s="828">
        <v>19</v>
      </c>
      <c r="E5" s="828">
        <v>0</v>
      </c>
      <c r="F5" s="828">
        <v>0</v>
      </c>
      <c r="G5" s="829">
        <v>243</v>
      </c>
      <c r="H5" s="830">
        <v>211</v>
      </c>
      <c r="I5" s="835">
        <v>231</v>
      </c>
      <c r="J5" s="828">
        <f t="shared" si="0"/>
        <v>685</v>
      </c>
      <c r="K5" s="828"/>
      <c r="L5" s="828"/>
      <c r="M5" s="832"/>
      <c r="N5" s="828"/>
      <c r="O5" s="828"/>
      <c r="P5" s="833"/>
    </row>
    <row r="6" ht="17" spans="1:16">
      <c r="A6" s="825" t="s">
        <v>166</v>
      </c>
      <c r="B6" s="839"/>
      <c r="C6" s="828">
        <v>5</v>
      </c>
      <c r="D6" s="828">
        <v>25</v>
      </c>
      <c r="E6" s="828">
        <v>0</v>
      </c>
      <c r="F6" s="828">
        <v>0</v>
      </c>
      <c r="G6" s="829">
        <v>240</v>
      </c>
      <c r="H6" s="830">
        <v>207</v>
      </c>
      <c r="I6" s="835">
        <v>227</v>
      </c>
      <c r="J6" s="828">
        <f t="shared" si="0"/>
        <v>674</v>
      </c>
      <c r="K6" s="832"/>
      <c r="L6" s="828"/>
      <c r="M6" s="825"/>
      <c r="N6" s="828"/>
      <c r="O6" s="828"/>
      <c r="P6" s="833" t="s">
        <v>167</v>
      </c>
    </row>
    <row r="7" ht="17" spans="1:16">
      <c r="A7" s="825" t="s">
        <v>168</v>
      </c>
      <c r="B7" s="840"/>
      <c r="C7" s="828">
        <v>5</v>
      </c>
      <c r="D7" s="828">
        <v>19</v>
      </c>
      <c r="E7" s="828">
        <v>7</v>
      </c>
      <c r="F7" s="828">
        <v>0</v>
      </c>
      <c r="G7" s="829">
        <v>237</v>
      </c>
      <c r="H7" s="830">
        <v>209</v>
      </c>
      <c r="I7" s="835">
        <v>216</v>
      </c>
      <c r="J7" s="828">
        <f t="shared" si="0"/>
        <v>662</v>
      </c>
      <c r="K7" s="828"/>
      <c r="L7" s="828"/>
      <c r="M7" s="832"/>
      <c r="N7" s="828"/>
      <c r="O7" s="828"/>
      <c r="P7" s="833" t="s">
        <v>169</v>
      </c>
    </row>
    <row r="8" ht="17" spans="1:16">
      <c r="A8" s="825" t="s">
        <v>170</v>
      </c>
      <c r="B8" s="841"/>
      <c r="C8" s="828">
        <v>0</v>
      </c>
      <c r="D8" s="828">
        <v>30</v>
      </c>
      <c r="E8" s="828">
        <v>12</v>
      </c>
      <c r="F8" s="828">
        <v>0</v>
      </c>
      <c r="G8" s="829">
        <v>240</v>
      </c>
      <c r="H8" s="830">
        <v>201</v>
      </c>
      <c r="I8" s="835">
        <v>207</v>
      </c>
      <c r="J8" s="828">
        <f t="shared" si="0"/>
        <v>648</v>
      </c>
      <c r="K8" s="828"/>
      <c r="L8" s="836"/>
      <c r="M8" s="825"/>
      <c r="N8" s="828"/>
      <c r="O8" s="828"/>
      <c r="P8" s="833"/>
    </row>
    <row r="9" ht="17" spans="1:16">
      <c r="A9" s="825" t="s">
        <v>171</v>
      </c>
      <c r="B9" s="842"/>
      <c r="C9" s="828">
        <v>0</v>
      </c>
      <c r="D9" s="828">
        <v>28</v>
      </c>
      <c r="E9" s="828">
        <v>22</v>
      </c>
      <c r="F9" s="828">
        <v>0</v>
      </c>
      <c r="G9" s="829">
        <v>246</v>
      </c>
      <c r="H9" s="830">
        <v>206</v>
      </c>
      <c r="I9" s="835">
        <v>193</v>
      </c>
      <c r="J9" s="828">
        <f t="shared" si="0"/>
        <v>645</v>
      </c>
      <c r="K9" s="828"/>
      <c r="L9" s="836"/>
      <c r="M9" s="825"/>
      <c r="N9" s="828"/>
      <c r="O9" s="828"/>
      <c r="P9" s="833"/>
    </row>
    <row r="10" ht="17" spans="1:16">
      <c r="A10" s="825" t="s">
        <v>172</v>
      </c>
      <c r="B10" s="843"/>
      <c r="C10" s="828">
        <v>0</v>
      </c>
      <c r="D10" s="828">
        <v>29</v>
      </c>
      <c r="E10" s="828">
        <v>16</v>
      </c>
      <c r="F10" s="828">
        <v>0</v>
      </c>
      <c r="G10" s="829">
        <v>242</v>
      </c>
      <c r="H10" s="830">
        <v>202</v>
      </c>
      <c r="I10" s="835">
        <v>201</v>
      </c>
      <c r="J10" s="828">
        <f t="shared" si="0"/>
        <v>645</v>
      </c>
      <c r="K10" s="828"/>
      <c r="L10" s="836"/>
      <c r="M10" s="825"/>
      <c r="N10" s="828"/>
      <c r="O10" s="828"/>
      <c r="P10" s="833"/>
    </row>
    <row r="11" ht="68" spans="1:16">
      <c r="A11" s="825" t="s">
        <v>173</v>
      </c>
      <c r="B11" s="844"/>
      <c r="C11" s="828">
        <v>10</v>
      </c>
      <c r="D11" s="828">
        <v>25</v>
      </c>
      <c r="E11" s="828">
        <v>10</v>
      </c>
      <c r="F11" s="828">
        <v>0</v>
      </c>
      <c r="G11" s="829">
        <v>231</v>
      </c>
      <c r="H11" s="830">
        <v>202</v>
      </c>
      <c r="I11" s="835">
        <v>211</v>
      </c>
      <c r="J11" s="828">
        <f t="shared" si="0"/>
        <v>644</v>
      </c>
      <c r="K11" s="832"/>
      <c r="L11" s="828"/>
      <c r="M11" s="832" t="s">
        <v>174</v>
      </c>
      <c r="N11" s="828"/>
      <c r="O11" s="828"/>
      <c r="P11" s="833" t="s">
        <v>175</v>
      </c>
    </row>
    <row r="12" ht="17" spans="1:16">
      <c r="A12" s="825" t="s">
        <v>165</v>
      </c>
      <c r="B12" s="845"/>
      <c r="C12" s="828">
        <v>0</v>
      </c>
      <c r="D12" s="828">
        <v>33</v>
      </c>
      <c r="E12" s="828">
        <v>11</v>
      </c>
      <c r="F12" s="828">
        <v>0</v>
      </c>
      <c r="G12" s="829">
        <v>241</v>
      </c>
      <c r="H12" s="830">
        <v>196</v>
      </c>
      <c r="I12" s="835">
        <v>205</v>
      </c>
      <c r="J12" s="828">
        <f t="shared" si="0"/>
        <v>642</v>
      </c>
      <c r="K12" s="828"/>
      <c r="L12" s="836"/>
      <c r="M12" s="825"/>
      <c r="N12" s="828"/>
      <c r="O12" s="828"/>
      <c r="P12" s="833"/>
    </row>
    <row r="13" ht="34" spans="1:16">
      <c r="A13" s="825" t="s">
        <v>176</v>
      </c>
      <c r="B13" s="846"/>
      <c r="C13" s="828">
        <v>5</v>
      </c>
      <c r="D13" s="828">
        <v>30</v>
      </c>
      <c r="E13" s="828">
        <v>10</v>
      </c>
      <c r="F13" s="828">
        <v>0</v>
      </c>
      <c r="G13" s="829">
        <v>239</v>
      </c>
      <c r="H13" s="830">
        <v>196</v>
      </c>
      <c r="I13" s="835">
        <v>206</v>
      </c>
      <c r="J13" s="828">
        <f t="shared" si="0"/>
        <v>641</v>
      </c>
      <c r="K13" s="832"/>
      <c r="L13" s="828"/>
      <c r="M13" s="825"/>
      <c r="N13" s="828"/>
      <c r="O13" s="828"/>
      <c r="P13" s="833" t="s">
        <v>177</v>
      </c>
    </row>
    <row r="14" ht="17" spans="1:16">
      <c r="A14" s="825" t="s">
        <v>178</v>
      </c>
      <c r="B14" s="847"/>
      <c r="C14" s="828">
        <v>0</v>
      </c>
      <c r="D14" s="828">
        <v>35</v>
      </c>
      <c r="E14" s="828">
        <v>10</v>
      </c>
      <c r="F14" s="828">
        <v>0</v>
      </c>
      <c r="G14" s="829">
        <v>246</v>
      </c>
      <c r="H14" s="830">
        <v>190</v>
      </c>
      <c r="I14" s="835">
        <v>200</v>
      </c>
      <c r="J14" s="828">
        <f t="shared" si="0"/>
        <v>636</v>
      </c>
      <c r="K14" s="832"/>
      <c r="L14" s="828"/>
      <c r="M14" s="825"/>
      <c r="N14" s="828"/>
      <c r="O14" s="828"/>
      <c r="P14" s="833" t="s">
        <v>179</v>
      </c>
    </row>
    <row r="15" ht="17" spans="1:16">
      <c r="A15" s="825" t="s">
        <v>180</v>
      </c>
      <c r="B15" s="848"/>
      <c r="C15" s="828">
        <v>0</v>
      </c>
      <c r="D15" s="828">
        <v>31</v>
      </c>
      <c r="E15" s="828">
        <v>24</v>
      </c>
      <c r="F15" s="828">
        <v>0</v>
      </c>
      <c r="G15" s="829">
        <v>244</v>
      </c>
      <c r="H15" s="830">
        <v>199</v>
      </c>
      <c r="I15" s="835">
        <v>186</v>
      </c>
      <c r="J15" s="828">
        <f t="shared" si="0"/>
        <v>629</v>
      </c>
      <c r="K15" s="828"/>
      <c r="L15" s="836"/>
      <c r="M15" s="825"/>
      <c r="N15" s="828"/>
      <c r="O15" s="828"/>
      <c r="P15" s="833"/>
    </row>
    <row r="16" ht="17" spans="1:16">
      <c r="A16" s="825" t="s">
        <v>181</v>
      </c>
      <c r="B16" s="849"/>
      <c r="C16" s="828">
        <v>10</v>
      </c>
      <c r="D16" s="828">
        <v>35</v>
      </c>
      <c r="E16" s="828">
        <v>0</v>
      </c>
      <c r="F16" s="828">
        <v>0</v>
      </c>
      <c r="G16" s="829">
        <v>228</v>
      </c>
      <c r="H16" s="830">
        <v>184</v>
      </c>
      <c r="I16" s="835">
        <v>213</v>
      </c>
      <c r="J16" s="828">
        <f t="shared" si="0"/>
        <v>625</v>
      </c>
      <c r="K16" s="832"/>
      <c r="L16" s="828"/>
      <c r="M16" s="825"/>
      <c r="N16" s="828"/>
      <c r="O16" s="828"/>
      <c r="P16" s="833" t="s">
        <v>182</v>
      </c>
    </row>
    <row r="17" ht="17" spans="1:16">
      <c r="A17" s="825" t="s">
        <v>183</v>
      </c>
      <c r="B17" s="850"/>
      <c r="C17" s="828">
        <v>0</v>
      </c>
      <c r="D17" s="828">
        <v>39</v>
      </c>
      <c r="E17" s="828">
        <v>14</v>
      </c>
      <c r="F17" s="828">
        <v>0</v>
      </c>
      <c r="G17" s="829">
        <v>238</v>
      </c>
      <c r="H17" s="830">
        <v>184</v>
      </c>
      <c r="I17" s="835">
        <v>195</v>
      </c>
      <c r="J17" s="828">
        <f t="shared" si="0"/>
        <v>617</v>
      </c>
      <c r="K17" s="828"/>
      <c r="L17" s="836"/>
      <c r="M17" s="825"/>
      <c r="N17" s="828"/>
      <c r="O17" s="828"/>
      <c r="P17" s="833"/>
    </row>
    <row r="18" ht="17" spans="1:16">
      <c r="A18" s="825" t="s">
        <v>184</v>
      </c>
      <c r="B18" s="851"/>
      <c r="C18" s="828">
        <v>0</v>
      </c>
      <c r="D18" s="828">
        <v>38</v>
      </c>
      <c r="E18" s="828">
        <v>25</v>
      </c>
      <c r="F18" s="828">
        <v>0</v>
      </c>
      <c r="G18" s="829">
        <v>242</v>
      </c>
      <c r="H18" s="830">
        <v>185</v>
      </c>
      <c r="I18" s="835">
        <v>178</v>
      </c>
      <c r="J18" s="828">
        <f t="shared" si="0"/>
        <v>605</v>
      </c>
      <c r="K18" s="828"/>
      <c r="L18" s="836"/>
      <c r="M18" s="852">
        <v>255179167</v>
      </c>
      <c r="N18" s="828"/>
      <c r="O18" s="828"/>
      <c r="P18" s="833" t="s">
        <v>185</v>
      </c>
    </row>
    <row r="19" ht="17" spans="1:16">
      <c r="A19" s="825" t="s">
        <v>165</v>
      </c>
      <c r="B19" s="853"/>
      <c r="C19" s="828">
        <v>5</v>
      </c>
      <c r="D19" s="828">
        <v>40</v>
      </c>
      <c r="E19" s="828">
        <v>10</v>
      </c>
      <c r="F19" s="828">
        <v>0</v>
      </c>
      <c r="G19" s="829">
        <v>236</v>
      </c>
      <c r="H19" s="830">
        <v>176</v>
      </c>
      <c r="I19" s="835">
        <v>193</v>
      </c>
      <c r="J19" s="828">
        <f t="shared" si="0"/>
        <v>605</v>
      </c>
      <c r="K19" s="832" t="s">
        <v>60</v>
      </c>
      <c r="L19" s="828"/>
      <c r="M19" s="825"/>
      <c r="N19" s="828"/>
      <c r="O19" s="828"/>
      <c r="P19" s="833" t="s">
        <v>186</v>
      </c>
    </row>
    <row r="20" ht="17" spans="1:16">
      <c r="A20" s="825" t="s">
        <v>187</v>
      </c>
      <c r="B20" s="854"/>
      <c r="C20" s="828">
        <v>5</v>
      </c>
      <c r="D20" s="828">
        <v>38</v>
      </c>
      <c r="E20" s="828">
        <v>20</v>
      </c>
      <c r="F20" s="828">
        <v>0</v>
      </c>
      <c r="G20" s="829">
        <v>227</v>
      </c>
      <c r="H20" s="830">
        <v>180</v>
      </c>
      <c r="I20" s="835">
        <v>184</v>
      </c>
      <c r="J20" s="828">
        <f t="shared" si="0"/>
        <v>591</v>
      </c>
      <c r="K20" s="828"/>
      <c r="L20" s="836"/>
      <c r="M20" s="825"/>
      <c r="N20" s="828"/>
      <c r="O20" s="828"/>
      <c r="P20" s="833"/>
    </row>
    <row r="21" ht="17" spans="1:16">
      <c r="A21" s="825" t="s">
        <v>188</v>
      </c>
      <c r="B21" s="855"/>
      <c r="C21" s="828">
        <v>0</v>
      </c>
      <c r="D21" s="828">
        <v>43</v>
      </c>
      <c r="E21" s="828">
        <v>24</v>
      </c>
      <c r="F21" s="828">
        <v>0</v>
      </c>
      <c r="G21" s="829">
        <v>239</v>
      </c>
      <c r="H21" s="830">
        <v>175</v>
      </c>
      <c r="I21" s="835">
        <v>173</v>
      </c>
      <c r="J21" s="828">
        <f t="shared" si="0"/>
        <v>587</v>
      </c>
      <c r="K21" s="828"/>
      <c r="L21" s="836"/>
      <c r="M21" s="825"/>
      <c r="N21" s="828"/>
      <c r="O21" s="828"/>
      <c r="P21" s="833"/>
    </row>
    <row r="22" ht="17" spans="1:16">
      <c r="A22" s="825" t="s">
        <v>189</v>
      </c>
      <c r="B22" s="856"/>
      <c r="C22" s="828">
        <v>0</v>
      </c>
      <c r="D22" s="828">
        <v>48</v>
      </c>
      <c r="E22" s="828">
        <v>15</v>
      </c>
      <c r="F22" s="828">
        <v>0</v>
      </c>
      <c r="G22" s="829">
        <v>238</v>
      </c>
      <c r="H22" s="830">
        <v>166</v>
      </c>
      <c r="I22" s="835">
        <v>183</v>
      </c>
      <c r="J22" s="828">
        <f t="shared" si="0"/>
        <v>587</v>
      </c>
      <c r="K22" s="828"/>
      <c r="L22" s="836"/>
      <c r="M22" s="825"/>
      <c r="N22" s="828"/>
      <c r="O22" s="828"/>
      <c r="P22" s="833"/>
    </row>
    <row r="23" ht="17" spans="1:16">
      <c r="A23" s="825" t="s">
        <v>190</v>
      </c>
      <c r="B23" s="857"/>
      <c r="C23" s="828">
        <v>10</v>
      </c>
      <c r="D23" s="828">
        <v>40</v>
      </c>
      <c r="E23" s="828">
        <v>15</v>
      </c>
      <c r="F23" s="828">
        <v>0</v>
      </c>
      <c r="G23" s="829">
        <v>227</v>
      </c>
      <c r="H23" s="830">
        <v>173</v>
      </c>
      <c r="I23" s="835">
        <v>185</v>
      </c>
      <c r="J23" s="828">
        <f t="shared" si="0"/>
        <v>585</v>
      </c>
      <c r="K23" s="832"/>
      <c r="L23" s="828"/>
      <c r="M23" s="825"/>
      <c r="N23" s="828"/>
      <c r="O23" s="828"/>
      <c r="P23" s="833" t="s">
        <v>191</v>
      </c>
    </row>
    <row r="24" ht="17" spans="1:16">
      <c r="A24" s="825" t="s">
        <v>192</v>
      </c>
      <c r="B24" s="858"/>
      <c r="C24" s="828">
        <v>0</v>
      </c>
      <c r="D24" s="828">
        <v>50</v>
      </c>
      <c r="E24" s="828">
        <v>16</v>
      </c>
      <c r="F24" s="828">
        <v>0</v>
      </c>
      <c r="G24" s="829">
        <v>235</v>
      </c>
      <c r="H24" s="830">
        <v>160</v>
      </c>
      <c r="I24" s="835">
        <v>179</v>
      </c>
      <c r="J24" s="828">
        <f t="shared" si="0"/>
        <v>574</v>
      </c>
      <c r="K24" s="828"/>
      <c r="L24" s="836"/>
      <c r="M24" s="825"/>
      <c r="N24" s="828"/>
      <c r="O24" s="828"/>
      <c r="P24" s="833"/>
    </row>
    <row r="25" ht="17" spans="1:16">
      <c r="A25" s="825" t="s">
        <v>193</v>
      </c>
      <c r="B25" s="859"/>
      <c r="C25" s="828">
        <v>0</v>
      </c>
      <c r="D25" s="828">
        <v>44</v>
      </c>
      <c r="E25" s="828">
        <v>32</v>
      </c>
      <c r="F25" s="828">
        <v>0</v>
      </c>
      <c r="G25" s="829">
        <v>240</v>
      </c>
      <c r="H25" s="830">
        <v>173</v>
      </c>
      <c r="I25" s="835">
        <v>160</v>
      </c>
      <c r="J25" s="828">
        <f t="shared" si="0"/>
        <v>573</v>
      </c>
      <c r="K25" s="828"/>
      <c r="L25" s="836"/>
      <c r="M25" s="828"/>
      <c r="N25" s="860"/>
      <c r="O25" s="828"/>
      <c r="P25" s="833" t="s">
        <v>194</v>
      </c>
    </row>
    <row r="26" ht="17" spans="1:16">
      <c r="A26" s="825" t="s">
        <v>195</v>
      </c>
      <c r="B26" s="861"/>
      <c r="C26" s="828">
        <v>0</v>
      </c>
      <c r="D26" s="828">
        <v>52</v>
      </c>
      <c r="E26" s="828">
        <v>15</v>
      </c>
      <c r="F26" s="828">
        <v>0</v>
      </c>
      <c r="G26" s="829">
        <v>237</v>
      </c>
      <c r="H26" s="830">
        <v>157</v>
      </c>
      <c r="I26" s="835">
        <v>178</v>
      </c>
      <c r="J26" s="828">
        <f t="shared" si="0"/>
        <v>572</v>
      </c>
      <c r="K26" s="828"/>
      <c r="L26" s="836"/>
      <c r="M26" s="825"/>
      <c r="N26" s="828"/>
      <c r="O26" s="828"/>
      <c r="P26" s="833"/>
    </row>
    <row r="27" ht="17" spans="1:16">
      <c r="A27" s="825" t="s">
        <v>196</v>
      </c>
      <c r="B27" s="862"/>
      <c r="C27" s="828">
        <v>0</v>
      </c>
      <c r="D27" s="828">
        <v>50</v>
      </c>
      <c r="E27" s="828">
        <v>23</v>
      </c>
      <c r="F27" s="828">
        <v>0</v>
      </c>
      <c r="G27" s="829">
        <v>240</v>
      </c>
      <c r="H27" s="830">
        <v>161</v>
      </c>
      <c r="I27" s="835">
        <v>168</v>
      </c>
      <c r="J27" s="828">
        <f t="shared" si="0"/>
        <v>569</v>
      </c>
      <c r="K27" s="828"/>
      <c r="L27" s="836"/>
      <c r="M27" s="825"/>
      <c r="N27" s="828"/>
      <c r="O27" s="828"/>
      <c r="P27" s="833"/>
    </row>
    <row r="28" ht="17" spans="1:16">
      <c r="A28" s="825" t="s">
        <v>197</v>
      </c>
      <c r="B28" s="863"/>
      <c r="C28" s="828">
        <v>0</v>
      </c>
      <c r="D28" s="828">
        <v>45</v>
      </c>
      <c r="E28" s="828">
        <v>34</v>
      </c>
      <c r="F28" s="828">
        <v>0</v>
      </c>
      <c r="G28" s="829">
        <v>239</v>
      </c>
      <c r="H28" s="830">
        <v>170</v>
      </c>
      <c r="I28" s="835">
        <v>156</v>
      </c>
      <c r="J28" s="828">
        <f t="shared" si="0"/>
        <v>565</v>
      </c>
      <c r="K28" s="828"/>
      <c r="L28" s="836"/>
      <c r="M28" s="825"/>
      <c r="N28" s="828"/>
      <c r="O28" s="828"/>
      <c r="P28" s="833"/>
    </row>
    <row r="29" ht="17" spans="1:16">
      <c r="A29" s="825" t="s">
        <v>198</v>
      </c>
      <c r="B29" s="864"/>
      <c r="C29" s="828">
        <v>0</v>
      </c>
      <c r="D29" s="828">
        <v>52</v>
      </c>
      <c r="E29" s="828">
        <v>18</v>
      </c>
      <c r="F29" s="828">
        <v>0</v>
      </c>
      <c r="G29" s="829">
        <v>236</v>
      </c>
      <c r="H29" s="830">
        <v>155</v>
      </c>
      <c r="I29" s="835">
        <v>173</v>
      </c>
      <c r="J29" s="828">
        <f t="shared" si="0"/>
        <v>564</v>
      </c>
      <c r="K29" s="828"/>
      <c r="L29" s="836"/>
      <c r="M29" s="825"/>
      <c r="N29" s="828"/>
      <c r="O29" s="828"/>
      <c r="P29" s="833"/>
    </row>
    <row r="30" ht="17" spans="1:16">
      <c r="A30" s="825" t="s">
        <v>199</v>
      </c>
      <c r="B30" s="865"/>
      <c r="C30" s="828">
        <v>0</v>
      </c>
      <c r="D30" s="828">
        <v>49</v>
      </c>
      <c r="E30" s="828">
        <v>27</v>
      </c>
      <c r="F30" s="828">
        <v>0</v>
      </c>
      <c r="G30" s="829">
        <v>238</v>
      </c>
      <c r="H30" s="830">
        <v>162</v>
      </c>
      <c r="I30" s="835">
        <v>164</v>
      </c>
      <c r="J30" s="828">
        <f t="shared" si="0"/>
        <v>564</v>
      </c>
      <c r="K30" s="828"/>
      <c r="L30" s="836"/>
      <c r="M30" s="825"/>
      <c r="N30" s="828"/>
      <c r="O30" s="828"/>
      <c r="P30" s="833"/>
    </row>
    <row r="31" ht="34" spans="1:16">
      <c r="A31" s="825" t="s">
        <v>200</v>
      </c>
      <c r="B31" s="866"/>
      <c r="C31" s="828">
        <v>10</v>
      </c>
      <c r="D31" s="828">
        <v>45</v>
      </c>
      <c r="E31" s="828">
        <v>20</v>
      </c>
      <c r="F31" s="828">
        <v>0</v>
      </c>
      <c r="G31" s="829">
        <v>226</v>
      </c>
      <c r="H31" s="830">
        <v>162</v>
      </c>
      <c r="I31" s="835">
        <v>172</v>
      </c>
      <c r="J31" s="828">
        <f t="shared" si="0"/>
        <v>560</v>
      </c>
      <c r="K31" s="832"/>
      <c r="L31" s="828"/>
      <c r="M31" s="825"/>
      <c r="N31" s="828"/>
      <c r="O31" s="828"/>
      <c r="P31" s="833" t="s">
        <v>201</v>
      </c>
    </row>
    <row r="32" ht="17" spans="1:16">
      <c r="A32" s="825" t="s">
        <v>202</v>
      </c>
      <c r="B32" s="867"/>
      <c r="C32" s="828">
        <v>15</v>
      </c>
      <c r="D32" s="828">
        <v>40</v>
      </c>
      <c r="E32" s="828">
        <v>25</v>
      </c>
      <c r="F32" s="828">
        <v>0</v>
      </c>
      <c r="G32" s="829">
        <v>218</v>
      </c>
      <c r="H32" s="830">
        <v>169</v>
      </c>
      <c r="I32" s="835">
        <v>169</v>
      </c>
      <c r="J32" s="828">
        <f t="shared" si="0"/>
        <v>556</v>
      </c>
      <c r="K32" s="832"/>
      <c r="L32" s="828"/>
      <c r="M32" s="825"/>
      <c r="N32" s="828"/>
      <c r="O32" s="828"/>
      <c r="P32" s="833" t="s">
        <v>203</v>
      </c>
    </row>
    <row r="33" ht="34" spans="1:16">
      <c r="A33" s="825" t="s">
        <v>204</v>
      </c>
      <c r="B33" s="868"/>
      <c r="C33" s="828">
        <v>15</v>
      </c>
      <c r="D33" s="828">
        <v>45</v>
      </c>
      <c r="E33" s="828">
        <v>15</v>
      </c>
      <c r="F33" s="828">
        <v>0</v>
      </c>
      <c r="G33" s="829">
        <v>217</v>
      </c>
      <c r="H33" s="830">
        <v>160</v>
      </c>
      <c r="I33" s="835">
        <v>179</v>
      </c>
      <c r="J33" s="828">
        <f t="shared" si="0"/>
        <v>556</v>
      </c>
      <c r="K33" s="832"/>
      <c r="L33" s="828"/>
      <c r="M33" s="825"/>
      <c r="N33" s="828"/>
      <c r="O33" s="828"/>
      <c r="P33" s="833" t="s">
        <v>205</v>
      </c>
    </row>
    <row r="34" ht="17" spans="1:16">
      <c r="A34" s="825" t="s">
        <v>206</v>
      </c>
      <c r="B34" s="869"/>
      <c r="C34" s="828">
        <v>0</v>
      </c>
      <c r="D34" s="828">
        <v>55</v>
      </c>
      <c r="E34" s="828">
        <v>20</v>
      </c>
      <c r="F34" s="828">
        <v>0</v>
      </c>
      <c r="G34" s="829">
        <v>240</v>
      </c>
      <c r="H34" s="830">
        <v>145</v>
      </c>
      <c r="I34" s="835">
        <v>160</v>
      </c>
      <c r="J34" s="828">
        <f t="shared" si="0"/>
        <v>545</v>
      </c>
      <c r="K34" s="832" t="s">
        <v>60</v>
      </c>
      <c r="L34" s="828"/>
      <c r="M34" s="825"/>
      <c r="N34" s="828"/>
      <c r="O34" s="828"/>
      <c r="P34" s="833" t="s">
        <v>207</v>
      </c>
    </row>
    <row r="35" ht="17" spans="1:16">
      <c r="A35" s="825" t="s">
        <v>208</v>
      </c>
      <c r="B35" s="870"/>
      <c r="C35" s="828">
        <v>0</v>
      </c>
      <c r="D35" s="828">
        <v>56</v>
      </c>
      <c r="E35" s="828">
        <v>27</v>
      </c>
      <c r="F35" s="828">
        <v>0</v>
      </c>
      <c r="G35" s="829">
        <v>241</v>
      </c>
      <c r="H35" s="830">
        <v>147</v>
      </c>
      <c r="I35" s="835">
        <v>156</v>
      </c>
      <c r="J35" s="828">
        <f t="shared" si="0"/>
        <v>544</v>
      </c>
      <c r="K35" s="828"/>
      <c r="L35" s="836"/>
      <c r="M35" s="825"/>
      <c r="N35" s="828"/>
      <c r="O35" s="828"/>
      <c r="P35" s="833"/>
    </row>
    <row r="36" ht="84" spans="1:16">
      <c r="A36" s="825" t="s">
        <v>209</v>
      </c>
      <c r="B36" s="871"/>
      <c r="C36" s="828">
        <v>0</v>
      </c>
      <c r="D36" s="828">
        <v>49</v>
      </c>
      <c r="E36" s="828">
        <v>26</v>
      </c>
      <c r="F36" s="828">
        <v>5</v>
      </c>
      <c r="G36" s="829">
        <v>235</v>
      </c>
      <c r="H36" s="830">
        <v>154</v>
      </c>
      <c r="I36" s="835">
        <v>154</v>
      </c>
      <c r="J36" s="828">
        <f t="shared" si="0"/>
        <v>543</v>
      </c>
      <c r="K36" s="828"/>
      <c r="L36" s="828"/>
      <c r="M36" s="828"/>
      <c r="N36" s="872"/>
      <c r="O36" s="873"/>
      <c r="P36" s="833" t="s">
        <v>210</v>
      </c>
    </row>
    <row r="37" ht="17" spans="1:16">
      <c r="A37" s="825" t="s">
        <v>211</v>
      </c>
      <c r="B37" s="874"/>
      <c r="C37" s="828">
        <v>0</v>
      </c>
      <c r="D37" s="828">
        <v>49</v>
      </c>
      <c r="E37" s="828">
        <v>41</v>
      </c>
      <c r="F37" s="828">
        <v>0</v>
      </c>
      <c r="G37" s="829">
        <v>238</v>
      </c>
      <c r="H37" s="830">
        <v>160</v>
      </c>
      <c r="I37" s="835">
        <v>140</v>
      </c>
      <c r="J37" s="828">
        <f t="shared" si="0"/>
        <v>538</v>
      </c>
      <c r="K37" s="828"/>
      <c r="L37" s="836"/>
      <c r="M37" s="825"/>
      <c r="N37" s="828"/>
      <c r="O37" s="828"/>
      <c r="P37" s="833"/>
    </row>
    <row r="38" ht="17" spans="1:16">
      <c r="A38" s="825" t="s">
        <v>212</v>
      </c>
      <c r="B38" s="875"/>
      <c r="C38" s="828">
        <v>0</v>
      </c>
      <c r="D38" s="828">
        <v>60</v>
      </c>
      <c r="E38" s="828">
        <v>18</v>
      </c>
      <c r="F38" s="828">
        <v>0</v>
      </c>
      <c r="G38" s="829">
        <v>236</v>
      </c>
      <c r="H38" s="830">
        <v>138</v>
      </c>
      <c r="I38" s="835">
        <v>164</v>
      </c>
      <c r="J38" s="828">
        <f t="shared" si="0"/>
        <v>538</v>
      </c>
      <c r="K38" s="828"/>
      <c r="L38" s="836"/>
      <c r="M38" s="825"/>
      <c r="N38" s="828"/>
      <c r="O38" s="828"/>
      <c r="P38" s="833"/>
    </row>
    <row r="39" ht="17" spans="1:16">
      <c r="A39" s="825" t="s">
        <v>213</v>
      </c>
      <c r="B39" s="876"/>
      <c r="C39" s="828">
        <v>0</v>
      </c>
      <c r="D39" s="828">
        <v>53</v>
      </c>
      <c r="E39" s="828">
        <v>36</v>
      </c>
      <c r="F39" s="828">
        <v>0</v>
      </c>
      <c r="G39" s="829">
        <v>241</v>
      </c>
      <c r="H39" s="830">
        <v>151</v>
      </c>
      <c r="I39" s="835">
        <v>144</v>
      </c>
      <c r="J39" s="828">
        <f t="shared" si="0"/>
        <v>536</v>
      </c>
      <c r="K39" s="828"/>
      <c r="L39" s="836"/>
      <c r="M39" s="825"/>
      <c r="N39" s="828"/>
      <c r="O39" s="828"/>
      <c r="P39" s="833"/>
    </row>
    <row r="40" ht="34" spans="1:16">
      <c r="A40" s="825" t="s">
        <v>214</v>
      </c>
      <c r="B40" s="877"/>
      <c r="C40" s="828"/>
      <c r="D40" s="828"/>
      <c r="E40" s="828"/>
      <c r="F40" s="828"/>
      <c r="G40" s="829">
        <v>217</v>
      </c>
      <c r="H40" s="830">
        <v>147</v>
      </c>
      <c r="I40" s="835">
        <v>171</v>
      </c>
      <c r="J40" s="828">
        <f t="shared" si="0"/>
        <v>535</v>
      </c>
      <c r="K40" s="832"/>
      <c r="L40" s="828"/>
      <c r="M40" s="825"/>
      <c r="N40" s="828"/>
      <c r="O40" s="828"/>
      <c r="P40" s="833" t="s">
        <v>215</v>
      </c>
    </row>
    <row r="41" ht="17" spans="1:16">
      <c r="A41" s="825" t="s">
        <v>216</v>
      </c>
      <c r="B41" s="878"/>
      <c r="C41" s="828">
        <v>0</v>
      </c>
      <c r="D41" s="828">
        <v>63</v>
      </c>
      <c r="E41" s="828">
        <v>18</v>
      </c>
      <c r="F41" s="828">
        <v>0</v>
      </c>
      <c r="G41" s="829">
        <v>239</v>
      </c>
      <c r="H41" s="830">
        <v>130</v>
      </c>
      <c r="I41" s="835">
        <v>160</v>
      </c>
      <c r="J41" s="828">
        <f t="shared" si="0"/>
        <v>529</v>
      </c>
      <c r="K41" s="828"/>
      <c r="L41" s="836"/>
      <c r="M41" s="825"/>
      <c r="N41" s="828"/>
      <c r="O41" s="828"/>
      <c r="P41" s="833"/>
    </row>
    <row r="42" ht="17" spans="1:16">
      <c r="A42" s="825" t="s">
        <v>217</v>
      </c>
      <c r="B42" s="879"/>
      <c r="C42" s="828">
        <v>0</v>
      </c>
      <c r="D42" s="828">
        <v>57</v>
      </c>
      <c r="E42" s="828">
        <v>36</v>
      </c>
      <c r="F42" s="828">
        <v>0</v>
      </c>
      <c r="G42" s="829">
        <v>241</v>
      </c>
      <c r="H42" s="830">
        <v>144</v>
      </c>
      <c r="I42" s="835">
        <v>140</v>
      </c>
      <c r="J42" s="828">
        <f t="shared" si="0"/>
        <v>525</v>
      </c>
      <c r="K42" s="828"/>
      <c r="L42" s="836"/>
      <c r="M42" s="825"/>
      <c r="N42" s="828"/>
      <c r="O42" s="828"/>
      <c r="P42" s="833"/>
    </row>
    <row r="43" ht="17" spans="1:16">
      <c r="A43" s="825" t="s">
        <v>218</v>
      </c>
      <c r="B43" s="880"/>
      <c r="C43" s="828">
        <v>10</v>
      </c>
      <c r="D43" s="828">
        <v>60</v>
      </c>
      <c r="E43" s="828">
        <v>10</v>
      </c>
      <c r="F43" s="828">
        <v>0</v>
      </c>
      <c r="G43" s="829">
        <v>222</v>
      </c>
      <c r="H43" s="830">
        <v>130</v>
      </c>
      <c r="I43" s="835">
        <v>167</v>
      </c>
      <c r="J43" s="828">
        <f t="shared" si="0"/>
        <v>519</v>
      </c>
      <c r="K43" s="832"/>
      <c r="L43" s="828"/>
      <c r="M43" s="825"/>
      <c r="N43" s="828"/>
      <c r="O43" s="828"/>
      <c r="P43" s="833" t="s">
        <v>219</v>
      </c>
    </row>
    <row r="44" ht="17" spans="1:16">
      <c r="A44" s="825" t="s">
        <v>220</v>
      </c>
      <c r="B44" s="881"/>
      <c r="C44" s="828">
        <v>20</v>
      </c>
      <c r="D44" s="828">
        <v>50</v>
      </c>
      <c r="E44" s="828">
        <v>25</v>
      </c>
      <c r="F44" s="828">
        <v>0</v>
      </c>
      <c r="G44" s="829">
        <v>207</v>
      </c>
      <c r="H44" s="830">
        <v>146</v>
      </c>
      <c r="I44" s="835">
        <v>158</v>
      </c>
      <c r="J44" s="828">
        <f t="shared" si="0"/>
        <v>511</v>
      </c>
      <c r="K44" s="832"/>
      <c r="L44" s="828"/>
      <c r="M44" s="825"/>
      <c r="N44" s="828"/>
      <c r="O44" s="828"/>
      <c r="P44" s="833" t="s">
        <v>221</v>
      </c>
    </row>
    <row r="45" ht="135" spans="1:16">
      <c r="A45" s="825" t="s">
        <v>222</v>
      </c>
      <c r="B45" s="882"/>
      <c r="C45" s="828">
        <v>0</v>
      </c>
      <c r="D45" s="828">
        <v>70</v>
      </c>
      <c r="E45" s="828">
        <v>0</v>
      </c>
      <c r="F45" s="828">
        <v>0</v>
      </c>
      <c r="G45" s="829">
        <v>235</v>
      </c>
      <c r="H45" s="830">
        <v>110</v>
      </c>
      <c r="I45" s="831">
        <v>165</v>
      </c>
      <c r="J45" s="828">
        <f t="shared" si="0"/>
        <v>510</v>
      </c>
      <c r="K45" s="828"/>
      <c r="L45" s="828"/>
      <c r="M45" s="828"/>
      <c r="N45" s="828"/>
      <c r="O45" s="873"/>
      <c r="P45" s="833" t="s">
        <v>223</v>
      </c>
    </row>
    <row r="46" ht="17" spans="1:16">
      <c r="A46" s="825" t="s">
        <v>224</v>
      </c>
      <c r="B46" s="883"/>
      <c r="C46" s="828">
        <v>0</v>
      </c>
      <c r="D46" s="828">
        <v>68</v>
      </c>
      <c r="E46" s="828">
        <v>21</v>
      </c>
      <c r="F46" s="828">
        <v>0</v>
      </c>
      <c r="G46" s="829">
        <v>236</v>
      </c>
      <c r="H46" s="830">
        <v>118</v>
      </c>
      <c r="I46" s="835">
        <v>150</v>
      </c>
      <c r="J46" s="828">
        <f t="shared" si="0"/>
        <v>504</v>
      </c>
      <c r="K46" s="828"/>
      <c r="L46" s="836"/>
      <c r="M46" s="825"/>
      <c r="N46" s="828"/>
      <c r="O46" s="828"/>
      <c r="P46" s="833"/>
    </row>
    <row r="47" ht="17" spans="1:16">
      <c r="A47" s="825" t="s">
        <v>225</v>
      </c>
      <c r="B47" s="884"/>
      <c r="C47" s="828">
        <v>0</v>
      </c>
      <c r="D47" s="828">
        <v>65</v>
      </c>
      <c r="E47" s="828">
        <v>29</v>
      </c>
      <c r="F47" s="828">
        <v>0</v>
      </c>
      <c r="G47" s="829">
        <v>231</v>
      </c>
      <c r="H47" s="830">
        <v>124</v>
      </c>
      <c r="I47" s="835">
        <v>142</v>
      </c>
      <c r="J47" s="828">
        <f t="shared" si="0"/>
        <v>497</v>
      </c>
      <c r="K47" s="828"/>
      <c r="L47" s="836"/>
      <c r="M47" s="825"/>
      <c r="N47" s="828"/>
      <c r="O47" s="828"/>
      <c r="P47" s="833"/>
    </row>
    <row r="48" ht="17" spans="1:16">
      <c r="A48" s="825" t="s">
        <v>193</v>
      </c>
      <c r="B48" s="885"/>
      <c r="C48" s="828">
        <v>0</v>
      </c>
      <c r="D48" s="828">
        <v>66</v>
      </c>
      <c r="E48" s="828">
        <v>34</v>
      </c>
      <c r="F48" s="828">
        <v>0</v>
      </c>
      <c r="G48" s="829">
        <v>244</v>
      </c>
      <c r="H48" s="830">
        <v>121</v>
      </c>
      <c r="I48" s="835">
        <v>131</v>
      </c>
      <c r="J48" s="828">
        <f t="shared" si="0"/>
        <v>496</v>
      </c>
      <c r="K48" s="828"/>
      <c r="L48" s="828"/>
      <c r="M48" s="832"/>
      <c r="N48" s="828"/>
      <c r="O48" s="828"/>
      <c r="P48" s="833" t="s">
        <v>226</v>
      </c>
    </row>
    <row r="49" ht="17" spans="1:16">
      <c r="A49" s="825" t="s">
        <v>227</v>
      </c>
      <c r="B49" s="886"/>
      <c r="C49" s="828">
        <v>0</v>
      </c>
      <c r="D49" s="828">
        <v>69</v>
      </c>
      <c r="E49" s="828">
        <v>22</v>
      </c>
      <c r="F49" s="828">
        <v>0</v>
      </c>
      <c r="G49" s="829">
        <v>234</v>
      </c>
      <c r="H49" s="830">
        <v>114</v>
      </c>
      <c r="I49" s="835">
        <v>147</v>
      </c>
      <c r="J49" s="828">
        <f t="shared" si="0"/>
        <v>495</v>
      </c>
      <c r="K49" s="828"/>
      <c r="L49" s="836"/>
      <c r="M49" s="825"/>
      <c r="N49" s="828"/>
      <c r="O49" s="828"/>
      <c r="P49" s="833"/>
    </row>
    <row r="50" ht="17" spans="1:16">
      <c r="A50" s="825" t="s">
        <v>228</v>
      </c>
      <c r="B50" s="887"/>
      <c r="C50" s="828"/>
      <c r="D50" s="828"/>
      <c r="E50" s="828"/>
      <c r="F50" s="828"/>
      <c r="G50" s="829"/>
      <c r="H50" s="830"/>
      <c r="I50" s="835"/>
      <c r="J50" s="828"/>
      <c r="K50" s="828"/>
      <c r="L50" s="828"/>
      <c r="M50" s="828"/>
      <c r="N50" s="872"/>
      <c r="O50" s="828"/>
      <c r="P50" s="833" t="s">
        <v>229</v>
      </c>
    </row>
    <row r="51" ht="17" spans="1:16">
      <c r="A51" s="825" t="s">
        <v>230</v>
      </c>
      <c r="B51" s="888"/>
      <c r="C51" s="828">
        <v>0</v>
      </c>
      <c r="D51" s="828">
        <v>65</v>
      </c>
      <c r="E51" s="828">
        <v>38</v>
      </c>
      <c r="F51" s="828">
        <v>0</v>
      </c>
      <c r="G51" s="829">
        <v>240</v>
      </c>
      <c r="H51" s="830">
        <v>124</v>
      </c>
      <c r="I51" s="835">
        <v>130</v>
      </c>
      <c r="J51" s="828">
        <f t="shared" ref="J51:J91" si="1">G51+H51+I51</f>
        <v>494</v>
      </c>
      <c r="K51" s="828"/>
      <c r="L51" s="836"/>
      <c r="M51" s="825"/>
      <c r="N51" s="828"/>
      <c r="O51" s="828"/>
      <c r="P51" s="833"/>
    </row>
    <row r="52" ht="17" spans="1:16">
      <c r="A52" s="825" t="s">
        <v>231</v>
      </c>
      <c r="B52" s="889"/>
      <c r="C52" s="828">
        <v>2</v>
      </c>
      <c r="D52" s="828">
        <v>66</v>
      </c>
      <c r="E52" s="828">
        <v>22</v>
      </c>
      <c r="F52" s="828">
        <v>0</v>
      </c>
      <c r="G52" s="829">
        <v>222</v>
      </c>
      <c r="H52" s="830">
        <v>120</v>
      </c>
      <c r="I52" s="835">
        <v>151</v>
      </c>
      <c r="J52" s="828">
        <f t="shared" si="1"/>
        <v>493</v>
      </c>
      <c r="K52" s="828"/>
      <c r="L52" s="836"/>
      <c r="M52" s="825"/>
      <c r="N52" s="828"/>
      <c r="O52" s="828"/>
      <c r="P52" s="833"/>
    </row>
    <row r="53" ht="17" spans="1:16">
      <c r="A53" s="825" t="s">
        <v>232</v>
      </c>
      <c r="B53" s="890"/>
      <c r="C53" s="828">
        <v>2</v>
      </c>
      <c r="D53" s="828">
        <v>65</v>
      </c>
      <c r="E53" s="828">
        <v>36</v>
      </c>
      <c r="F53" s="828">
        <v>0</v>
      </c>
      <c r="G53" s="829">
        <v>239</v>
      </c>
      <c r="H53" s="830">
        <v>122</v>
      </c>
      <c r="I53" s="835">
        <v>130</v>
      </c>
      <c r="J53" s="828">
        <f t="shared" si="1"/>
        <v>491</v>
      </c>
      <c r="K53" s="828"/>
      <c r="L53" s="828"/>
      <c r="M53" s="832"/>
      <c r="N53" s="828"/>
      <c r="O53" s="828"/>
      <c r="P53" s="833" t="s">
        <v>233</v>
      </c>
    </row>
    <row r="54" ht="17" spans="1:16">
      <c r="A54" s="825" t="s">
        <v>234</v>
      </c>
      <c r="B54" s="891"/>
      <c r="C54" s="828">
        <v>10</v>
      </c>
      <c r="D54" s="828">
        <v>67</v>
      </c>
      <c r="E54" s="828">
        <v>12</v>
      </c>
      <c r="F54" s="828">
        <v>0</v>
      </c>
      <c r="G54" s="829">
        <v>210</v>
      </c>
      <c r="H54" s="830">
        <v>118</v>
      </c>
      <c r="I54" s="835">
        <v>163</v>
      </c>
      <c r="J54" s="828">
        <f t="shared" si="1"/>
        <v>491</v>
      </c>
      <c r="K54" s="828"/>
      <c r="L54" s="836"/>
      <c r="M54" s="825"/>
      <c r="N54" s="828"/>
      <c r="O54" s="828"/>
      <c r="P54" s="833"/>
    </row>
    <row r="55" ht="17" spans="1:16">
      <c r="A55" s="825" t="s">
        <v>235</v>
      </c>
      <c r="B55" s="892"/>
      <c r="C55" s="828">
        <v>20</v>
      </c>
      <c r="D55" s="828">
        <v>55</v>
      </c>
      <c r="E55" s="828">
        <v>30</v>
      </c>
      <c r="F55" s="828">
        <v>0</v>
      </c>
      <c r="G55" s="829">
        <v>206</v>
      </c>
      <c r="H55" s="830">
        <v>136</v>
      </c>
      <c r="I55" s="835">
        <v>146</v>
      </c>
      <c r="J55" s="828">
        <f t="shared" si="1"/>
        <v>488</v>
      </c>
      <c r="K55" s="832"/>
      <c r="L55" s="828"/>
      <c r="M55" s="825"/>
      <c r="N55" s="828"/>
      <c r="O55" s="828"/>
      <c r="P55" s="833" t="s">
        <v>236</v>
      </c>
    </row>
    <row r="56" ht="17" spans="1:16">
      <c r="A56" s="825" t="s">
        <v>237</v>
      </c>
      <c r="B56" s="893"/>
      <c r="C56" s="828">
        <v>10</v>
      </c>
      <c r="D56" s="828">
        <v>65</v>
      </c>
      <c r="E56" s="828">
        <v>20</v>
      </c>
      <c r="F56" s="828">
        <v>0</v>
      </c>
      <c r="G56" s="829">
        <v>221</v>
      </c>
      <c r="H56" s="830">
        <v>118</v>
      </c>
      <c r="I56" s="835">
        <v>148</v>
      </c>
      <c r="J56" s="828">
        <f t="shared" si="1"/>
        <v>487</v>
      </c>
      <c r="K56" s="832"/>
      <c r="L56" s="828"/>
      <c r="M56" s="825"/>
      <c r="N56" s="828"/>
      <c r="O56" s="828"/>
      <c r="P56" s="833" t="s">
        <v>238</v>
      </c>
    </row>
    <row r="57" ht="17" spans="1:16">
      <c r="A57" s="825" t="s">
        <v>239</v>
      </c>
      <c r="B57" s="894"/>
      <c r="C57" s="828">
        <v>0</v>
      </c>
      <c r="D57" s="828">
        <v>71</v>
      </c>
      <c r="E57" s="828">
        <v>18</v>
      </c>
      <c r="F57" s="828">
        <v>0</v>
      </c>
      <c r="G57" s="829">
        <v>225</v>
      </c>
      <c r="H57" s="830">
        <v>108</v>
      </c>
      <c r="I57" s="835">
        <v>150</v>
      </c>
      <c r="J57" s="828">
        <f t="shared" si="1"/>
        <v>483</v>
      </c>
      <c r="K57" s="828"/>
      <c r="L57" s="836"/>
      <c r="M57" s="825"/>
      <c r="N57" s="828"/>
      <c r="O57" s="828"/>
      <c r="P57" s="833"/>
    </row>
    <row r="58" ht="34" spans="1:16">
      <c r="A58" s="825" t="s">
        <v>240</v>
      </c>
      <c r="B58" s="895"/>
      <c r="C58" s="828">
        <v>20</v>
      </c>
      <c r="D58" s="828">
        <v>65</v>
      </c>
      <c r="E58" s="828">
        <v>10</v>
      </c>
      <c r="F58" s="828">
        <v>0</v>
      </c>
      <c r="G58" s="829">
        <v>204</v>
      </c>
      <c r="H58" s="830">
        <v>115</v>
      </c>
      <c r="I58" s="835">
        <v>160</v>
      </c>
      <c r="J58" s="828">
        <f t="shared" si="1"/>
        <v>479</v>
      </c>
      <c r="K58" s="832" t="s">
        <v>60</v>
      </c>
      <c r="L58" s="828"/>
      <c r="M58" s="825"/>
      <c r="N58" s="828"/>
      <c r="O58" s="828"/>
      <c r="P58" s="833" t="s">
        <v>241</v>
      </c>
    </row>
    <row r="59" ht="17" spans="1:16">
      <c r="A59" s="825" t="s">
        <v>242</v>
      </c>
      <c r="B59" s="896"/>
      <c r="C59" s="828">
        <v>0</v>
      </c>
      <c r="D59" s="828">
        <v>67</v>
      </c>
      <c r="E59" s="828">
        <v>55</v>
      </c>
      <c r="F59" s="828">
        <v>0</v>
      </c>
      <c r="G59" s="829">
        <v>241</v>
      </c>
      <c r="H59" s="830">
        <v>118</v>
      </c>
      <c r="I59" s="835">
        <v>102</v>
      </c>
      <c r="J59" s="828">
        <f t="shared" si="1"/>
        <v>461</v>
      </c>
      <c r="K59" s="828"/>
      <c r="L59" s="836"/>
      <c r="M59" s="825"/>
      <c r="N59" s="828"/>
      <c r="O59" s="828"/>
      <c r="P59" s="833"/>
    </row>
    <row r="60" ht="17" spans="1:16">
      <c r="A60" s="825" t="s">
        <v>243</v>
      </c>
      <c r="B60" s="897"/>
      <c r="C60" s="828">
        <v>10</v>
      </c>
      <c r="D60" s="828">
        <v>70</v>
      </c>
      <c r="E60" s="828">
        <v>30</v>
      </c>
      <c r="F60" s="828">
        <v>0</v>
      </c>
      <c r="G60" s="829">
        <v>220</v>
      </c>
      <c r="H60" s="830">
        <v>107</v>
      </c>
      <c r="I60" s="835">
        <v>130</v>
      </c>
      <c r="J60" s="828">
        <f t="shared" si="1"/>
        <v>457</v>
      </c>
      <c r="K60" s="832"/>
      <c r="L60" s="828"/>
      <c r="M60" s="825"/>
      <c r="N60" s="828"/>
      <c r="O60" s="828"/>
      <c r="P60" s="833" t="s">
        <v>244</v>
      </c>
    </row>
    <row r="61" ht="17" spans="1:16">
      <c r="A61" s="825" t="s">
        <v>245</v>
      </c>
      <c r="B61" s="898"/>
      <c r="C61" s="828">
        <v>16</v>
      </c>
      <c r="D61" s="828">
        <v>61</v>
      </c>
      <c r="E61" s="828">
        <v>34</v>
      </c>
      <c r="F61" s="828">
        <v>4</v>
      </c>
      <c r="G61" s="829">
        <v>194</v>
      </c>
      <c r="H61" s="830">
        <v>124</v>
      </c>
      <c r="I61" s="835">
        <v>136</v>
      </c>
      <c r="J61" s="828">
        <f t="shared" si="1"/>
        <v>454</v>
      </c>
      <c r="K61" s="828"/>
      <c r="L61" s="836"/>
      <c r="M61" s="825"/>
      <c r="N61" s="828"/>
      <c r="O61" s="828"/>
      <c r="P61" s="833"/>
    </row>
    <row r="62" ht="17" spans="1:16">
      <c r="A62" s="825" t="s">
        <v>246</v>
      </c>
      <c r="B62" s="899"/>
      <c r="C62" s="828">
        <v>0</v>
      </c>
      <c r="D62" s="828">
        <v>81</v>
      </c>
      <c r="E62" s="828">
        <v>18</v>
      </c>
      <c r="F62" s="828">
        <v>0</v>
      </c>
      <c r="G62" s="829">
        <v>236</v>
      </c>
      <c r="H62" s="830">
        <v>78</v>
      </c>
      <c r="I62" s="835">
        <v>138</v>
      </c>
      <c r="J62" s="828">
        <f t="shared" si="1"/>
        <v>452</v>
      </c>
      <c r="K62" s="828"/>
      <c r="L62" s="836"/>
      <c r="M62" s="825"/>
      <c r="N62" s="828"/>
      <c r="O62" s="828"/>
      <c r="P62" s="833"/>
    </row>
    <row r="63" ht="17" spans="1:16">
      <c r="A63" s="825" t="s">
        <v>247</v>
      </c>
      <c r="B63" s="900"/>
      <c r="C63" s="828">
        <v>10</v>
      </c>
      <c r="D63" s="828">
        <v>70</v>
      </c>
      <c r="E63" s="828">
        <v>35</v>
      </c>
      <c r="F63" s="828">
        <v>0</v>
      </c>
      <c r="G63" s="829">
        <v>221</v>
      </c>
      <c r="H63" s="830">
        <v>107</v>
      </c>
      <c r="I63" s="835">
        <v>123</v>
      </c>
      <c r="J63" s="828">
        <f t="shared" si="1"/>
        <v>451</v>
      </c>
      <c r="K63" s="832" t="s">
        <v>60</v>
      </c>
      <c r="L63" s="828"/>
      <c r="M63" s="825"/>
      <c r="N63" s="828"/>
      <c r="O63" s="828"/>
      <c r="P63" s="833" t="s">
        <v>248</v>
      </c>
    </row>
    <row r="64" ht="17" spans="1:16">
      <c r="A64" s="825" t="s">
        <v>249</v>
      </c>
      <c r="B64" s="901"/>
      <c r="C64" s="828">
        <v>0</v>
      </c>
      <c r="D64" s="828">
        <v>82</v>
      </c>
      <c r="E64" s="828">
        <v>16</v>
      </c>
      <c r="F64" s="828">
        <v>0</v>
      </c>
      <c r="G64" s="829">
        <v>239</v>
      </c>
      <c r="H64" s="830">
        <v>73</v>
      </c>
      <c r="I64" s="835">
        <v>139</v>
      </c>
      <c r="J64" s="828">
        <f t="shared" si="1"/>
        <v>451</v>
      </c>
      <c r="K64" s="828"/>
      <c r="L64" s="836"/>
      <c r="M64" s="825"/>
      <c r="N64" s="828"/>
      <c r="O64" s="828"/>
      <c r="P64" s="833"/>
    </row>
    <row r="65" ht="17" spans="1:16">
      <c r="A65" s="825" t="s">
        <v>250</v>
      </c>
      <c r="B65" s="902"/>
      <c r="C65" s="828">
        <v>30</v>
      </c>
      <c r="D65" s="828">
        <v>60</v>
      </c>
      <c r="E65" s="828">
        <v>30</v>
      </c>
      <c r="F65" s="828">
        <v>0</v>
      </c>
      <c r="G65" s="829">
        <v>187</v>
      </c>
      <c r="H65" s="830">
        <v>122</v>
      </c>
      <c r="I65" s="835">
        <v>140</v>
      </c>
      <c r="J65" s="828">
        <f t="shared" si="1"/>
        <v>449</v>
      </c>
      <c r="K65" s="832"/>
      <c r="L65" s="828"/>
      <c r="M65" s="825"/>
      <c r="N65" s="828"/>
      <c r="O65" s="828"/>
      <c r="P65" s="833" t="s">
        <v>251</v>
      </c>
    </row>
    <row r="66" ht="17" spans="1:16">
      <c r="A66" s="825" t="s">
        <v>252</v>
      </c>
      <c r="B66" s="903"/>
      <c r="C66" s="828">
        <v>15</v>
      </c>
      <c r="D66" s="828">
        <v>68</v>
      </c>
      <c r="E66" s="828">
        <v>28</v>
      </c>
      <c r="F66" s="828">
        <v>2</v>
      </c>
      <c r="G66" s="829">
        <v>197</v>
      </c>
      <c r="H66" s="830">
        <v>112</v>
      </c>
      <c r="I66" s="835">
        <v>139</v>
      </c>
      <c r="J66" s="828">
        <f t="shared" si="1"/>
        <v>448</v>
      </c>
      <c r="K66" s="828"/>
      <c r="L66" s="836"/>
      <c r="M66" s="825"/>
      <c r="N66" s="828"/>
      <c r="O66" s="828"/>
      <c r="P66" s="833"/>
    </row>
    <row r="67" ht="17" spans="1:16">
      <c r="A67" s="825" t="s">
        <v>253</v>
      </c>
      <c r="B67" s="904"/>
      <c r="C67" s="828">
        <v>0</v>
      </c>
      <c r="D67" s="828">
        <v>80</v>
      </c>
      <c r="E67" s="828">
        <v>27</v>
      </c>
      <c r="F67" s="828">
        <v>0</v>
      </c>
      <c r="G67" s="829">
        <v>234</v>
      </c>
      <c r="H67" s="830">
        <v>81</v>
      </c>
      <c r="I67" s="835">
        <v>127</v>
      </c>
      <c r="J67" s="828">
        <f t="shared" si="1"/>
        <v>442</v>
      </c>
      <c r="K67" s="828"/>
      <c r="L67" s="836"/>
      <c r="M67" s="825"/>
      <c r="N67" s="828"/>
      <c r="O67" s="828"/>
      <c r="P67" s="833"/>
    </row>
    <row r="68" ht="17" spans="1:16">
      <c r="A68" s="825" t="s">
        <v>254</v>
      </c>
      <c r="B68" s="905"/>
      <c r="C68" s="828">
        <v>0</v>
      </c>
      <c r="D68" s="828">
        <v>80</v>
      </c>
      <c r="E68" s="828">
        <v>28</v>
      </c>
      <c r="F68" s="828">
        <v>0</v>
      </c>
      <c r="G68" s="829">
        <v>235</v>
      </c>
      <c r="H68" s="830">
        <v>80</v>
      </c>
      <c r="I68" s="835">
        <v>126</v>
      </c>
      <c r="J68" s="828">
        <f t="shared" si="1"/>
        <v>441</v>
      </c>
      <c r="K68" s="828"/>
      <c r="L68" s="836"/>
      <c r="M68" s="825"/>
      <c r="N68" s="828"/>
      <c r="O68" s="828"/>
      <c r="P68" s="833"/>
    </row>
    <row r="69" ht="17" spans="1:16">
      <c r="A69" s="825" t="s">
        <v>255</v>
      </c>
      <c r="B69" s="906"/>
      <c r="C69" s="828">
        <v>0</v>
      </c>
      <c r="D69" s="828">
        <v>76</v>
      </c>
      <c r="E69" s="828">
        <v>16</v>
      </c>
      <c r="F69" s="828">
        <v>0</v>
      </c>
      <c r="G69" s="829">
        <v>206</v>
      </c>
      <c r="H69" s="830">
        <v>94</v>
      </c>
      <c r="I69" s="835">
        <v>138</v>
      </c>
      <c r="J69" s="828">
        <f t="shared" si="1"/>
        <v>438</v>
      </c>
      <c r="K69" s="828"/>
      <c r="L69" s="836"/>
      <c r="M69" s="825"/>
      <c r="N69" s="828"/>
      <c r="O69" s="828"/>
      <c r="P69" s="833"/>
    </row>
    <row r="70" ht="17" spans="1:16">
      <c r="A70" s="825" t="s">
        <v>256</v>
      </c>
      <c r="B70" s="907"/>
      <c r="C70" s="828">
        <v>11</v>
      </c>
      <c r="D70" s="828">
        <v>97</v>
      </c>
      <c r="E70" s="828">
        <v>10</v>
      </c>
      <c r="F70" s="828">
        <v>0</v>
      </c>
      <c r="G70" s="829">
        <v>204</v>
      </c>
      <c r="H70" s="830">
        <v>85</v>
      </c>
      <c r="I70" s="835">
        <v>149</v>
      </c>
      <c r="J70" s="828">
        <f t="shared" si="1"/>
        <v>438</v>
      </c>
      <c r="K70" s="828"/>
      <c r="L70" s="836"/>
      <c r="M70" s="825"/>
      <c r="N70" s="828"/>
      <c r="O70" s="828"/>
      <c r="P70" s="833"/>
    </row>
    <row r="71" ht="17" spans="1:16">
      <c r="A71" s="825" t="s">
        <v>257</v>
      </c>
      <c r="B71" s="908"/>
      <c r="C71" s="828">
        <v>7</v>
      </c>
      <c r="D71" s="828">
        <v>79</v>
      </c>
      <c r="E71" s="828">
        <v>18</v>
      </c>
      <c r="F71" s="828">
        <v>0</v>
      </c>
      <c r="G71" s="829">
        <v>210</v>
      </c>
      <c r="H71" s="830">
        <v>86</v>
      </c>
      <c r="I71" s="835">
        <v>140</v>
      </c>
      <c r="J71" s="828">
        <f t="shared" si="1"/>
        <v>436</v>
      </c>
      <c r="K71" s="828"/>
      <c r="L71" s="836"/>
      <c r="M71" s="825"/>
      <c r="N71" s="828"/>
      <c r="O71" s="828"/>
      <c r="P71" s="833"/>
    </row>
    <row r="72" ht="17" spans="1:16">
      <c r="A72" s="825" t="s">
        <v>258</v>
      </c>
      <c r="B72" s="909"/>
      <c r="C72" s="828">
        <v>0</v>
      </c>
      <c r="D72" s="828">
        <v>78</v>
      </c>
      <c r="E72" s="828">
        <v>44</v>
      </c>
      <c r="F72" s="828">
        <v>0</v>
      </c>
      <c r="G72" s="829">
        <v>237</v>
      </c>
      <c r="H72" s="830">
        <v>85</v>
      </c>
      <c r="I72" s="835">
        <v>106</v>
      </c>
      <c r="J72" s="828">
        <f t="shared" si="1"/>
        <v>428</v>
      </c>
      <c r="K72" s="828"/>
      <c r="L72" s="836"/>
      <c r="M72" s="825"/>
      <c r="N72" s="828"/>
      <c r="O72" s="828"/>
      <c r="P72" s="833"/>
    </row>
    <row r="73" ht="17" spans="1:16">
      <c r="A73" s="825" t="s">
        <v>259</v>
      </c>
      <c r="B73" s="910"/>
      <c r="C73" s="828">
        <v>0</v>
      </c>
      <c r="D73" s="828">
        <v>77</v>
      </c>
      <c r="E73" s="828">
        <v>49</v>
      </c>
      <c r="F73" s="828">
        <v>0</v>
      </c>
      <c r="G73" s="829">
        <v>237</v>
      </c>
      <c r="H73" s="830">
        <v>90</v>
      </c>
      <c r="I73" s="835">
        <v>101</v>
      </c>
      <c r="J73" s="828">
        <f t="shared" si="1"/>
        <v>428</v>
      </c>
      <c r="K73" s="828"/>
      <c r="L73" s="836"/>
      <c r="M73" s="825"/>
      <c r="N73" s="828"/>
      <c r="O73" s="828"/>
      <c r="P73" s="833"/>
    </row>
    <row r="74" ht="17" spans="1:16">
      <c r="A74" s="825" t="s">
        <v>260</v>
      </c>
      <c r="B74" s="911"/>
      <c r="C74" s="828">
        <v>16</v>
      </c>
      <c r="D74" s="828">
        <v>79</v>
      </c>
      <c r="E74" s="828">
        <v>14</v>
      </c>
      <c r="F74" s="828">
        <v>1</v>
      </c>
      <c r="G74" s="829">
        <v>195</v>
      </c>
      <c r="H74" s="830">
        <v>86</v>
      </c>
      <c r="I74" s="835">
        <v>145</v>
      </c>
      <c r="J74" s="828">
        <f t="shared" si="1"/>
        <v>426</v>
      </c>
      <c r="K74" s="828"/>
      <c r="L74" s="836"/>
      <c r="M74" s="825"/>
      <c r="N74" s="828"/>
      <c r="O74" s="828"/>
      <c r="P74" s="833"/>
    </row>
    <row r="75" ht="17" spans="1:16">
      <c r="A75" s="825" t="s">
        <v>261</v>
      </c>
      <c r="B75" s="912"/>
      <c r="C75" s="828">
        <v>20</v>
      </c>
      <c r="D75" s="828">
        <v>75</v>
      </c>
      <c r="E75" s="828">
        <v>25</v>
      </c>
      <c r="F75" s="828">
        <v>0</v>
      </c>
      <c r="G75" s="829">
        <v>203</v>
      </c>
      <c r="H75" s="830">
        <v>92</v>
      </c>
      <c r="I75" s="835">
        <v>131</v>
      </c>
      <c r="J75" s="828">
        <f t="shared" si="1"/>
        <v>426</v>
      </c>
      <c r="K75" s="832" t="s">
        <v>60</v>
      </c>
      <c r="L75" s="828"/>
      <c r="M75" s="825"/>
      <c r="N75" s="828"/>
      <c r="O75" s="828"/>
      <c r="P75" s="833" t="s">
        <v>262</v>
      </c>
    </row>
    <row r="76" ht="101" spans="1:16">
      <c r="A76" s="825" t="s">
        <v>263</v>
      </c>
      <c r="B76" s="913"/>
      <c r="C76" s="828">
        <v>30</v>
      </c>
      <c r="D76" s="828">
        <v>75</v>
      </c>
      <c r="E76" s="828">
        <v>20</v>
      </c>
      <c r="F76" s="828">
        <v>0</v>
      </c>
      <c r="G76" s="829">
        <v>185</v>
      </c>
      <c r="H76" s="830">
        <v>90</v>
      </c>
      <c r="I76" s="835">
        <v>137</v>
      </c>
      <c r="J76" s="828">
        <f t="shared" si="1"/>
        <v>412</v>
      </c>
      <c r="K76" s="832"/>
      <c r="L76" s="828"/>
      <c r="M76" s="825"/>
      <c r="N76" s="828"/>
      <c r="O76" s="828"/>
      <c r="P76" s="833" t="s">
        <v>264</v>
      </c>
    </row>
    <row r="77" ht="17" spans="1:16">
      <c r="A77" s="825" t="s">
        <v>265</v>
      </c>
      <c r="B77" s="914"/>
      <c r="C77" s="828">
        <v>0</v>
      </c>
      <c r="D77" s="828">
        <v>82</v>
      </c>
      <c r="E77" s="828">
        <v>44</v>
      </c>
      <c r="F77" s="828">
        <v>0</v>
      </c>
      <c r="G77" s="829">
        <v>238</v>
      </c>
      <c r="H77" s="830">
        <v>72</v>
      </c>
      <c r="I77" s="835">
        <v>102</v>
      </c>
      <c r="J77" s="828">
        <f t="shared" si="1"/>
        <v>412</v>
      </c>
      <c r="K77" s="828"/>
      <c r="L77" s="836"/>
      <c r="M77" s="825"/>
      <c r="N77" s="828"/>
      <c r="O77" s="828"/>
      <c r="P77" s="833"/>
    </row>
    <row r="78" ht="17" spans="1:16">
      <c r="A78" s="825" t="s">
        <v>266</v>
      </c>
      <c r="B78" s="915"/>
      <c r="C78" s="828">
        <v>0</v>
      </c>
      <c r="D78" s="828">
        <v>85</v>
      </c>
      <c r="E78" s="828">
        <v>24</v>
      </c>
      <c r="F78" s="828">
        <v>0</v>
      </c>
      <c r="G78" s="829">
        <v>222</v>
      </c>
      <c r="H78" s="830">
        <v>63</v>
      </c>
      <c r="I78" s="835">
        <v>124</v>
      </c>
      <c r="J78" s="828">
        <f t="shared" si="1"/>
        <v>409</v>
      </c>
      <c r="K78" s="828"/>
      <c r="L78" s="836"/>
      <c r="M78" s="825"/>
      <c r="N78" s="828"/>
      <c r="O78" s="828"/>
      <c r="P78" s="833"/>
    </row>
    <row r="79" ht="17" spans="1:16">
      <c r="A79" s="825" t="s">
        <v>267</v>
      </c>
      <c r="B79" s="916"/>
      <c r="C79" s="828">
        <v>0</v>
      </c>
      <c r="D79" s="828">
        <v>82</v>
      </c>
      <c r="E79" s="828">
        <v>46</v>
      </c>
      <c r="F79" s="828">
        <v>0</v>
      </c>
      <c r="G79" s="829">
        <v>238</v>
      </c>
      <c r="H79" s="830">
        <v>72</v>
      </c>
      <c r="I79" s="835">
        <v>99</v>
      </c>
      <c r="J79" s="828">
        <f t="shared" si="1"/>
        <v>409</v>
      </c>
      <c r="K79" s="828"/>
      <c r="L79" s="836"/>
      <c r="M79" s="825"/>
      <c r="N79" s="828"/>
      <c r="O79" s="828"/>
      <c r="P79" s="833"/>
    </row>
    <row r="80" ht="34" spans="1:16">
      <c r="A80" s="825" t="s">
        <v>268</v>
      </c>
      <c r="B80" s="917"/>
      <c r="C80" s="828">
        <v>0</v>
      </c>
      <c r="D80" s="828">
        <v>85</v>
      </c>
      <c r="E80" s="828">
        <v>33</v>
      </c>
      <c r="F80" s="828">
        <v>0</v>
      </c>
      <c r="G80" s="829">
        <v>235</v>
      </c>
      <c r="H80" s="830">
        <v>60</v>
      </c>
      <c r="I80" s="835">
        <v>112</v>
      </c>
      <c r="J80" s="828">
        <f t="shared" si="1"/>
        <v>407</v>
      </c>
      <c r="K80" s="828"/>
      <c r="L80" s="836"/>
      <c r="M80" s="825"/>
      <c r="N80" s="828"/>
      <c r="O80" s="828"/>
      <c r="P80" s="833"/>
    </row>
    <row r="81" ht="17" spans="1:16">
      <c r="A81" s="825" t="s">
        <v>269</v>
      </c>
      <c r="B81" s="918"/>
      <c r="C81" s="828">
        <v>0</v>
      </c>
      <c r="D81" s="828">
        <v>0</v>
      </c>
      <c r="E81" s="828">
        <v>96</v>
      </c>
      <c r="F81" s="828">
        <v>0</v>
      </c>
      <c r="G81" s="829">
        <v>255</v>
      </c>
      <c r="H81" s="830">
        <v>0</v>
      </c>
      <c r="I81" s="835">
        <v>151</v>
      </c>
      <c r="J81" s="828">
        <f t="shared" si="1"/>
        <v>406</v>
      </c>
      <c r="K81" s="828"/>
      <c r="L81" s="828"/>
      <c r="M81" s="832"/>
      <c r="N81" s="828"/>
      <c r="O81" s="828"/>
      <c r="P81" s="833" t="s">
        <v>270</v>
      </c>
    </row>
    <row r="82" ht="17" spans="1:16">
      <c r="A82" s="825" t="s">
        <v>271</v>
      </c>
      <c r="B82" s="919"/>
      <c r="C82" s="828">
        <v>0</v>
      </c>
      <c r="D82" s="828">
        <v>86</v>
      </c>
      <c r="E82" s="828">
        <v>30</v>
      </c>
      <c r="F82" s="828">
        <v>0</v>
      </c>
      <c r="G82" s="829">
        <v>239</v>
      </c>
      <c r="H82" s="830">
        <v>52</v>
      </c>
      <c r="I82" s="835">
        <v>115</v>
      </c>
      <c r="J82" s="828">
        <f t="shared" si="1"/>
        <v>406</v>
      </c>
      <c r="K82" s="828"/>
      <c r="L82" s="836"/>
      <c r="M82" s="825"/>
      <c r="N82" s="828"/>
      <c r="O82" s="828"/>
      <c r="P82" s="833"/>
    </row>
    <row r="83" ht="17" spans="1:16">
      <c r="A83" s="825" t="s">
        <v>272</v>
      </c>
      <c r="B83" s="920"/>
      <c r="C83" s="828">
        <v>0</v>
      </c>
      <c r="D83" s="828">
        <v>87</v>
      </c>
      <c r="E83" s="828">
        <v>24</v>
      </c>
      <c r="F83" s="828">
        <v>0</v>
      </c>
      <c r="G83" s="829">
        <v>238</v>
      </c>
      <c r="H83" s="830">
        <v>44</v>
      </c>
      <c r="I83" s="835">
        <v>121</v>
      </c>
      <c r="J83" s="828">
        <f t="shared" si="1"/>
        <v>403</v>
      </c>
      <c r="K83" s="828"/>
      <c r="L83" s="836"/>
      <c r="M83" s="825"/>
      <c r="N83" s="828"/>
      <c r="O83" s="828"/>
      <c r="P83" s="833"/>
    </row>
    <row r="84" ht="17" spans="1:16">
      <c r="A84" s="825" t="s">
        <v>273</v>
      </c>
      <c r="B84" s="921"/>
      <c r="C84" s="828">
        <v>0</v>
      </c>
      <c r="D84" s="828">
        <v>76</v>
      </c>
      <c r="E84" s="828">
        <v>67</v>
      </c>
      <c r="F84" s="828">
        <v>0</v>
      </c>
      <c r="G84" s="829">
        <v>242</v>
      </c>
      <c r="H84" s="830">
        <v>90</v>
      </c>
      <c r="I84" s="835">
        <v>71</v>
      </c>
      <c r="J84" s="828">
        <f t="shared" si="1"/>
        <v>403</v>
      </c>
      <c r="K84" s="828"/>
      <c r="L84" s="836"/>
      <c r="M84" s="825"/>
      <c r="N84" s="828"/>
      <c r="O84" s="828"/>
      <c r="P84" s="833"/>
    </row>
    <row r="85" ht="17" spans="1:16">
      <c r="A85" s="825" t="s">
        <v>274</v>
      </c>
      <c r="B85" s="922"/>
      <c r="C85" s="828">
        <v>0</v>
      </c>
      <c r="D85" s="828">
        <v>82</v>
      </c>
      <c r="E85" s="828">
        <v>50</v>
      </c>
      <c r="F85" s="828">
        <v>0</v>
      </c>
      <c r="G85" s="829">
        <v>239</v>
      </c>
      <c r="H85" s="830">
        <v>71</v>
      </c>
      <c r="I85" s="835">
        <v>93</v>
      </c>
      <c r="J85" s="828">
        <f t="shared" si="1"/>
        <v>403</v>
      </c>
      <c r="K85" s="828"/>
      <c r="L85" s="836"/>
      <c r="M85" s="825"/>
      <c r="N85" s="828"/>
      <c r="O85" s="828"/>
      <c r="P85" s="833"/>
    </row>
    <row r="86" ht="17" spans="1:16">
      <c r="A86" s="825" t="s">
        <v>275</v>
      </c>
      <c r="B86" s="923"/>
      <c r="C86" s="828">
        <v>0</v>
      </c>
      <c r="D86" s="828">
        <v>88</v>
      </c>
      <c r="E86" s="828">
        <v>23</v>
      </c>
      <c r="F86" s="828">
        <v>0</v>
      </c>
      <c r="G86" s="829">
        <v>236</v>
      </c>
      <c r="H86" s="830">
        <v>45</v>
      </c>
      <c r="I86" s="835">
        <v>122</v>
      </c>
      <c r="J86" s="828">
        <f t="shared" si="1"/>
        <v>403</v>
      </c>
      <c r="K86" s="828"/>
      <c r="L86" s="836"/>
      <c r="M86" s="825"/>
      <c r="N86" s="828"/>
      <c r="O86" s="828"/>
      <c r="P86" s="833"/>
    </row>
    <row r="87" ht="17" spans="1:16">
      <c r="A87" s="825" t="s">
        <v>276</v>
      </c>
      <c r="B87" s="924"/>
      <c r="C87" s="828">
        <v>8</v>
      </c>
      <c r="D87" s="828">
        <v>78</v>
      </c>
      <c r="E87" s="828">
        <v>35</v>
      </c>
      <c r="F87" s="828">
        <v>1</v>
      </c>
      <c r="G87" s="829">
        <v>206</v>
      </c>
      <c r="H87" s="830">
        <v>87</v>
      </c>
      <c r="I87" s="835">
        <v>109</v>
      </c>
      <c r="J87" s="828">
        <f t="shared" si="1"/>
        <v>402</v>
      </c>
      <c r="K87" s="828"/>
      <c r="L87" s="836"/>
      <c r="M87" s="825"/>
      <c r="N87" s="828"/>
      <c r="O87" s="828"/>
      <c r="P87" s="833"/>
    </row>
    <row r="88" ht="17" spans="1:16">
      <c r="A88" s="825" t="s">
        <v>277</v>
      </c>
      <c r="B88" s="925"/>
      <c r="C88" s="828">
        <v>0</v>
      </c>
      <c r="D88" s="828">
        <v>76</v>
      </c>
      <c r="E88" s="828">
        <v>68</v>
      </c>
      <c r="F88" s="828">
        <v>0</v>
      </c>
      <c r="G88" s="829">
        <v>240</v>
      </c>
      <c r="H88" s="830">
        <v>90</v>
      </c>
      <c r="I88" s="835">
        <v>70</v>
      </c>
      <c r="J88" s="828">
        <f t="shared" si="1"/>
        <v>400</v>
      </c>
      <c r="K88" s="828"/>
      <c r="L88" s="836"/>
      <c r="M88" s="825"/>
      <c r="N88" s="828"/>
      <c r="O88" s="828"/>
      <c r="P88" s="833"/>
    </row>
    <row r="89" ht="17" spans="1:16">
      <c r="A89" s="825" t="s">
        <v>278</v>
      </c>
      <c r="B89" s="926"/>
      <c r="C89" s="828">
        <v>0</v>
      </c>
      <c r="D89" s="828">
        <v>77</v>
      </c>
      <c r="E89" s="828">
        <v>69</v>
      </c>
      <c r="F89" s="828">
        <v>0</v>
      </c>
      <c r="G89" s="829">
        <v>241</v>
      </c>
      <c r="H89" s="830">
        <v>86</v>
      </c>
      <c r="I89" s="835">
        <v>66</v>
      </c>
      <c r="J89" s="828">
        <f t="shared" si="1"/>
        <v>393</v>
      </c>
      <c r="K89" s="828"/>
      <c r="L89" s="836"/>
      <c r="M89" s="825"/>
      <c r="N89" s="828"/>
      <c r="O89" s="828"/>
      <c r="P89" s="833"/>
    </row>
    <row r="90" ht="51" spans="1:16">
      <c r="A90" s="825" t="s">
        <v>279</v>
      </c>
      <c r="B90" s="927"/>
      <c r="C90" s="828">
        <v>25</v>
      </c>
      <c r="D90" s="828">
        <v>75</v>
      </c>
      <c r="E90" s="828">
        <v>45</v>
      </c>
      <c r="F90" s="828">
        <v>0</v>
      </c>
      <c r="G90" s="829">
        <v>195</v>
      </c>
      <c r="H90" s="830">
        <v>92</v>
      </c>
      <c r="I90" s="835">
        <v>106</v>
      </c>
      <c r="J90" s="828">
        <f t="shared" si="1"/>
        <v>393</v>
      </c>
      <c r="K90" s="832"/>
      <c r="L90" s="828"/>
      <c r="M90" s="825"/>
      <c r="N90" s="828"/>
      <c r="O90" s="828"/>
      <c r="P90" s="833" t="s">
        <v>280</v>
      </c>
    </row>
    <row r="91" ht="17" spans="1:16">
      <c r="A91" s="825" t="s">
        <v>281</v>
      </c>
      <c r="B91" s="928"/>
      <c r="C91" s="828">
        <v>0</v>
      </c>
      <c r="D91" s="828">
        <v>88</v>
      </c>
      <c r="E91" s="828">
        <v>36</v>
      </c>
      <c r="F91" s="828">
        <v>0</v>
      </c>
      <c r="G91" s="829">
        <v>237</v>
      </c>
      <c r="H91" s="830">
        <v>47</v>
      </c>
      <c r="I91" s="835">
        <v>106</v>
      </c>
      <c r="J91" s="828">
        <f t="shared" si="1"/>
        <v>390</v>
      </c>
      <c r="K91" s="828"/>
      <c r="L91" s="836"/>
      <c r="M91" s="825"/>
      <c r="N91" s="828"/>
      <c r="O91" s="828"/>
      <c r="P91" s="833"/>
    </row>
    <row r="92" ht="17" spans="1:16">
      <c r="A92" s="929" t="s">
        <v>282</v>
      </c>
      <c r="B92" s="930"/>
      <c r="C92" s="828"/>
      <c r="D92" s="828"/>
      <c r="E92" s="828"/>
      <c r="F92" s="828"/>
      <c r="G92" s="829"/>
      <c r="H92" s="830"/>
      <c r="I92" s="835"/>
      <c r="J92" s="828"/>
      <c r="K92" s="828"/>
      <c r="L92" s="828"/>
      <c r="M92" s="828"/>
      <c r="N92" s="872"/>
      <c r="O92" s="828"/>
      <c r="P92" s="833" t="s">
        <v>283</v>
      </c>
    </row>
    <row r="93" ht="101" spans="1:16">
      <c r="A93" s="825" t="s">
        <v>284</v>
      </c>
      <c r="B93" s="931"/>
      <c r="C93" s="828">
        <v>4</v>
      </c>
      <c r="D93" s="828">
        <v>89</v>
      </c>
      <c r="E93" s="828">
        <v>21</v>
      </c>
      <c r="F93" s="828">
        <v>0</v>
      </c>
      <c r="G93" s="829">
        <v>210</v>
      </c>
      <c r="H93" s="830">
        <v>53</v>
      </c>
      <c r="I93" s="835">
        <v>125</v>
      </c>
      <c r="J93" s="828">
        <f t="shared" ref="J93:J124" si="2">G93+H93+I93</f>
        <v>388</v>
      </c>
      <c r="K93" s="828"/>
      <c r="L93" s="836"/>
      <c r="M93" s="825"/>
      <c r="N93" s="828"/>
      <c r="O93" s="932"/>
      <c r="P93" s="833" t="s">
        <v>285</v>
      </c>
    </row>
    <row r="94" ht="17" spans="1:16">
      <c r="A94" s="825" t="s">
        <v>286</v>
      </c>
      <c r="B94" s="933"/>
      <c r="C94" s="828">
        <v>13</v>
      </c>
      <c r="D94" s="828">
        <v>76</v>
      </c>
      <c r="E94" s="828">
        <v>50</v>
      </c>
      <c r="F94" s="828">
        <v>2</v>
      </c>
      <c r="G94" s="829">
        <v>196</v>
      </c>
      <c r="H94" s="830">
        <v>90</v>
      </c>
      <c r="I94" s="835">
        <v>101</v>
      </c>
      <c r="J94" s="828">
        <f t="shared" si="2"/>
        <v>387</v>
      </c>
      <c r="K94" s="828"/>
      <c r="L94" s="836"/>
      <c r="M94" s="825"/>
      <c r="N94" s="828"/>
      <c r="O94" s="828"/>
      <c r="P94" s="833"/>
    </row>
    <row r="95" ht="17" spans="1:16">
      <c r="A95" s="825" t="s">
        <v>287</v>
      </c>
      <c r="B95" s="934"/>
      <c r="C95" s="828">
        <v>5</v>
      </c>
      <c r="D95" s="828">
        <v>87</v>
      </c>
      <c r="E95" s="828">
        <v>30</v>
      </c>
      <c r="F95" s="828">
        <v>1</v>
      </c>
      <c r="G95" s="829">
        <v>209</v>
      </c>
      <c r="H95" s="830">
        <v>60</v>
      </c>
      <c r="I95" s="835">
        <v>116</v>
      </c>
      <c r="J95" s="828">
        <f t="shared" si="2"/>
        <v>385</v>
      </c>
      <c r="K95" s="828"/>
      <c r="L95" s="836"/>
      <c r="M95" s="825"/>
      <c r="N95" s="828"/>
      <c r="O95" s="828"/>
      <c r="P95" s="833"/>
    </row>
    <row r="96" ht="17" spans="1:16">
      <c r="A96" s="825" t="s">
        <v>288</v>
      </c>
      <c r="B96" s="935"/>
      <c r="C96" s="828">
        <v>0</v>
      </c>
      <c r="D96" s="828">
        <v>93</v>
      </c>
      <c r="E96" s="828">
        <v>60</v>
      </c>
      <c r="F96" s="828">
        <v>0</v>
      </c>
      <c r="G96" s="829">
        <v>255</v>
      </c>
      <c r="H96" s="830">
        <v>45</v>
      </c>
      <c r="I96" s="835">
        <v>81</v>
      </c>
      <c r="J96" s="828">
        <f t="shared" si="2"/>
        <v>381</v>
      </c>
      <c r="K96" s="828"/>
      <c r="L96" s="828"/>
      <c r="M96" s="832"/>
      <c r="N96" s="828"/>
      <c r="O96" s="828"/>
      <c r="P96" s="936" t="s">
        <v>289</v>
      </c>
    </row>
    <row r="97" ht="17" spans="1:16">
      <c r="A97" s="825" t="s">
        <v>290</v>
      </c>
      <c r="B97" s="937"/>
      <c r="C97" s="828">
        <v>0</v>
      </c>
      <c r="D97" s="828">
        <v>83</v>
      </c>
      <c r="E97" s="828">
        <v>86</v>
      </c>
      <c r="F97" s="828">
        <v>0</v>
      </c>
      <c r="G97" s="829">
        <v>243</v>
      </c>
      <c r="H97" s="830">
        <v>83</v>
      </c>
      <c r="I97" s="835">
        <v>54</v>
      </c>
      <c r="J97" s="828">
        <f t="shared" si="2"/>
        <v>380</v>
      </c>
      <c r="K97" s="828"/>
      <c r="L97" s="828"/>
      <c r="M97" s="832"/>
      <c r="N97" s="872"/>
      <c r="O97" s="828"/>
      <c r="P97" s="833" t="s">
        <v>291</v>
      </c>
    </row>
    <row r="98" ht="17" spans="1:16">
      <c r="A98" s="825" t="s">
        <v>292</v>
      </c>
      <c r="B98" s="938"/>
      <c r="C98" s="828">
        <v>0</v>
      </c>
      <c r="D98" s="828">
        <v>88</v>
      </c>
      <c r="E98" s="828">
        <v>40</v>
      </c>
      <c r="F98" s="828">
        <v>0</v>
      </c>
      <c r="G98" s="829">
        <v>236</v>
      </c>
      <c r="H98" s="830">
        <v>44</v>
      </c>
      <c r="I98" s="835">
        <v>100</v>
      </c>
      <c r="J98" s="828">
        <f t="shared" si="2"/>
        <v>380</v>
      </c>
      <c r="K98" s="828"/>
      <c r="L98" s="836"/>
      <c r="M98" s="825"/>
      <c r="N98" s="828"/>
      <c r="O98" s="828"/>
      <c r="P98" s="833"/>
    </row>
    <row r="99" ht="17" spans="1:16">
      <c r="A99" s="825" t="s">
        <v>293</v>
      </c>
      <c r="B99" s="939"/>
      <c r="C99" s="828">
        <v>0</v>
      </c>
      <c r="D99" s="828">
        <v>81</v>
      </c>
      <c r="E99" s="828">
        <v>66</v>
      </c>
      <c r="F99" s="828">
        <v>0</v>
      </c>
      <c r="G99" s="829">
        <v>237</v>
      </c>
      <c r="H99" s="830">
        <v>72</v>
      </c>
      <c r="I99" s="835">
        <v>69</v>
      </c>
      <c r="J99" s="828">
        <f t="shared" si="2"/>
        <v>378</v>
      </c>
      <c r="K99" s="828"/>
      <c r="L99" s="836"/>
      <c r="M99" s="825"/>
      <c r="N99" s="828"/>
      <c r="O99" s="828"/>
      <c r="P99" s="833"/>
    </row>
    <row r="100" ht="17" spans="1:16">
      <c r="A100" s="825" t="s">
        <v>294</v>
      </c>
      <c r="B100" s="940"/>
      <c r="C100" s="828">
        <v>1</v>
      </c>
      <c r="D100" s="828">
        <v>81</v>
      </c>
      <c r="E100" s="828">
        <v>87</v>
      </c>
      <c r="F100" s="828">
        <v>0</v>
      </c>
      <c r="G100" s="829">
        <v>237</v>
      </c>
      <c r="H100" s="830">
        <v>87</v>
      </c>
      <c r="I100" s="835">
        <v>54</v>
      </c>
      <c r="J100" s="828">
        <f t="shared" si="2"/>
        <v>378</v>
      </c>
      <c r="K100" s="828"/>
      <c r="L100" s="828"/>
      <c r="M100" s="832"/>
      <c r="N100" s="828"/>
      <c r="O100" s="828"/>
      <c r="P100" s="833" t="s">
        <v>295</v>
      </c>
    </row>
    <row r="101" ht="17" spans="1:16">
      <c r="A101" s="825" t="s">
        <v>296</v>
      </c>
      <c r="B101" s="941"/>
      <c r="C101" s="828">
        <v>0</v>
      </c>
      <c r="D101" s="828">
        <v>84</v>
      </c>
      <c r="E101" s="828">
        <v>60</v>
      </c>
      <c r="F101" s="828">
        <v>0</v>
      </c>
      <c r="G101" s="829">
        <v>238</v>
      </c>
      <c r="H101" s="830">
        <v>63</v>
      </c>
      <c r="I101" s="835">
        <v>77</v>
      </c>
      <c r="J101" s="828">
        <f t="shared" si="2"/>
        <v>378</v>
      </c>
      <c r="K101" s="828"/>
      <c r="L101" s="836"/>
      <c r="M101" s="825"/>
      <c r="N101" s="828"/>
      <c r="O101" s="828"/>
      <c r="P101" s="833"/>
    </row>
    <row r="102" ht="17" spans="1:16">
      <c r="A102" s="825" t="s">
        <v>297</v>
      </c>
      <c r="B102" s="942"/>
      <c r="C102" s="828">
        <v>0</v>
      </c>
      <c r="D102" s="828">
        <v>86</v>
      </c>
      <c r="E102" s="828">
        <v>55</v>
      </c>
      <c r="F102" s="828">
        <v>0</v>
      </c>
      <c r="G102" s="829">
        <v>240</v>
      </c>
      <c r="H102" s="830">
        <v>55</v>
      </c>
      <c r="I102" s="835">
        <v>82</v>
      </c>
      <c r="J102" s="828">
        <f t="shared" si="2"/>
        <v>377</v>
      </c>
      <c r="K102" s="828"/>
      <c r="L102" s="836"/>
      <c r="M102" s="825"/>
      <c r="N102" s="872"/>
      <c r="O102" s="828"/>
      <c r="P102" s="833" t="s">
        <v>298</v>
      </c>
    </row>
    <row r="103" ht="17" spans="1:16">
      <c r="A103" s="825" t="s">
        <v>299</v>
      </c>
      <c r="B103" s="943"/>
      <c r="C103" s="828">
        <v>0</v>
      </c>
      <c r="D103" s="828">
        <v>80</v>
      </c>
      <c r="E103" s="828">
        <v>72</v>
      </c>
      <c r="F103" s="828">
        <v>0</v>
      </c>
      <c r="G103" s="829">
        <v>240</v>
      </c>
      <c r="H103" s="830">
        <v>74</v>
      </c>
      <c r="I103" s="835">
        <v>58</v>
      </c>
      <c r="J103" s="828">
        <f t="shared" si="2"/>
        <v>372</v>
      </c>
      <c r="K103" s="828"/>
      <c r="L103" s="836"/>
      <c r="M103" s="825"/>
      <c r="N103" s="828"/>
      <c r="O103" s="828"/>
      <c r="P103" s="833"/>
    </row>
    <row r="104" ht="17" spans="1:16">
      <c r="A104" s="825" t="s">
        <v>300</v>
      </c>
      <c r="B104" s="944"/>
      <c r="C104" s="828">
        <v>25</v>
      </c>
      <c r="D104" s="828">
        <v>80</v>
      </c>
      <c r="E104" s="828">
        <v>50</v>
      </c>
      <c r="F104" s="828">
        <v>0</v>
      </c>
      <c r="G104" s="829">
        <v>194</v>
      </c>
      <c r="H104" s="830">
        <v>81</v>
      </c>
      <c r="I104" s="835">
        <v>96</v>
      </c>
      <c r="J104" s="828">
        <f t="shared" si="2"/>
        <v>371</v>
      </c>
      <c r="K104" s="832"/>
      <c r="L104" s="828"/>
      <c r="M104" s="825"/>
      <c r="N104" s="828"/>
      <c r="O104" s="828"/>
      <c r="P104" s="833" t="s">
        <v>301</v>
      </c>
    </row>
    <row r="105" ht="17" spans="1:16">
      <c r="A105" s="825" t="s">
        <v>302</v>
      </c>
      <c r="B105" s="945"/>
      <c r="C105" s="828">
        <v>0</v>
      </c>
      <c r="D105" s="828">
        <v>70</v>
      </c>
      <c r="E105" s="828">
        <v>91</v>
      </c>
      <c r="F105" s="828">
        <v>0</v>
      </c>
      <c r="G105" s="829">
        <v>225</v>
      </c>
      <c r="H105" s="830">
        <v>103</v>
      </c>
      <c r="I105" s="835">
        <v>35</v>
      </c>
      <c r="J105" s="828">
        <f t="shared" si="2"/>
        <v>363</v>
      </c>
      <c r="K105" s="828"/>
      <c r="L105" s="836"/>
      <c r="M105" s="828"/>
      <c r="N105" s="828"/>
      <c r="O105" s="828"/>
      <c r="P105" s="833"/>
    </row>
    <row r="106" ht="17" spans="1:16">
      <c r="A106" s="825" t="s">
        <v>303</v>
      </c>
      <c r="B106" s="946"/>
      <c r="C106" s="828">
        <v>0</v>
      </c>
      <c r="D106" s="828">
        <v>78</v>
      </c>
      <c r="E106" s="828">
        <v>83</v>
      </c>
      <c r="F106" s="828">
        <v>0</v>
      </c>
      <c r="G106" s="829">
        <v>237</v>
      </c>
      <c r="H106" s="830">
        <v>81</v>
      </c>
      <c r="I106" s="835">
        <v>38</v>
      </c>
      <c r="J106" s="828">
        <f t="shared" si="2"/>
        <v>356</v>
      </c>
      <c r="K106" s="828"/>
      <c r="L106" s="836"/>
      <c r="M106" s="832" t="s">
        <v>304</v>
      </c>
      <c r="N106" s="828"/>
      <c r="O106" s="828"/>
      <c r="P106" s="833" t="s">
        <v>305</v>
      </c>
    </row>
    <row r="107" ht="17" spans="1:16">
      <c r="A107" s="825" t="s">
        <v>306</v>
      </c>
      <c r="B107" s="947"/>
      <c r="C107" s="828">
        <v>35</v>
      </c>
      <c r="D107" s="828">
        <v>85</v>
      </c>
      <c r="E107" s="828">
        <v>35</v>
      </c>
      <c r="F107" s="828">
        <v>0</v>
      </c>
      <c r="G107" s="829">
        <v>176</v>
      </c>
      <c r="H107" s="830">
        <v>67</v>
      </c>
      <c r="I107" s="835">
        <v>111</v>
      </c>
      <c r="J107" s="828">
        <f t="shared" si="2"/>
        <v>354</v>
      </c>
      <c r="K107" s="832"/>
      <c r="L107" s="828"/>
      <c r="M107" s="825"/>
      <c r="N107" s="828"/>
      <c r="O107" s="828"/>
      <c r="P107" s="833" t="s">
        <v>307</v>
      </c>
    </row>
    <row r="108" ht="17" spans="1:16">
      <c r="A108" s="825" t="s">
        <v>308</v>
      </c>
      <c r="B108" s="948"/>
      <c r="C108" s="828">
        <v>0</v>
      </c>
      <c r="D108" s="828">
        <v>80</v>
      </c>
      <c r="E108" s="828">
        <v>83</v>
      </c>
      <c r="F108" s="828">
        <v>0</v>
      </c>
      <c r="G108" s="829">
        <v>240</v>
      </c>
      <c r="H108" s="830">
        <v>75</v>
      </c>
      <c r="I108" s="835">
        <v>34</v>
      </c>
      <c r="J108" s="828">
        <f t="shared" si="2"/>
        <v>349</v>
      </c>
      <c r="K108" s="828"/>
      <c r="L108" s="836"/>
      <c r="M108" s="832" t="s">
        <v>309</v>
      </c>
      <c r="N108" s="828"/>
      <c r="O108" s="828"/>
      <c r="P108" s="833" t="s">
        <v>310</v>
      </c>
    </row>
    <row r="109" ht="17" spans="1:16">
      <c r="A109" s="825" t="s">
        <v>311</v>
      </c>
      <c r="B109" s="949"/>
      <c r="C109" s="828">
        <v>30</v>
      </c>
      <c r="D109" s="828">
        <v>90</v>
      </c>
      <c r="E109" s="828">
        <v>30</v>
      </c>
      <c r="F109" s="828">
        <v>0</v>
      </c>
      <c r="G109" s="829">
        <v>184</v>
      </c>
      <c r="H109" s="830">
        <v>53</v>
      </c>
      <c r="I109" s="835">
        <v>112</v>
      </c>
      <c r="J109" s="828">
        <f t="shared" si="2"/>
        <v>349</v>
      </c>
      <c r="K109" s="832"/>
      <c r="L109" s="828"/>
      <c r="M109" s="825"/>
      <c r="N109" s="828"/>
      <c r="O109" s="828"/>
      <c r="P109" s="833" t="s">
        <v>312</v>
      </c>
    </row>
    <row r="110" ht="17" spans="1:16">
      <c r="A110" s="825" t="s">
        <v>313</v>
      </c>
      <c r="B110" s="950"/>
      <c r="C110" s="828">
        <v>0</v>
      </c>
      <c r="D110" s="828">
        <v>89</v>
      </c>
      <c r="E110" s="828">
        <v>62</v>
      </c>
      <c r="F110" s="828">
        <v>0</v>
      </c>
      <c r="G110" s="829">
        <v>238</v>
      </c>
      <c r="H110" s="830">
        <v>39</v>
      </c>
      <c r="I110" s="835">
        <v>70</v>
      </c>
      <c r="J110" s="828">
        <f t="shared" si="2"/>
        <v>347</v>
      </c>
      <c r="K110" s="828"/>
      <c r="L110" s="836"/>
      <c r="M110" s="825"/>
      <c r="N110" s="828"/>
      <c r="O110" s="828"/>
      <c r="P110" s="833"/>
    </row>
    <row r="111" ht="17" spans="1:16">
      <c r="A111" s="825" t="s">
        <v>314</v>
      </c>
      <c r="B111" s="951"/>
      <c r="C111" s="828">
        <v>13</v>
      </c>
      <c r="D111" s="828">
        <v>83</v>
      </c>
      <c r="E111" s="828">
        <v>62</v>
      </c>
      <c r="F111" s="828">
        <v>3</v>
      </c>
      <c r="G111" s="829">
        <v>192</v>
      </c>
      <c r="H111" s="830">
        <v>72</v>
      </c>
      <c r="I111" s="835">
        <v>81</v>
      </c>
      <c r="J111" s="828">
        <f t="shared" si="2"/>
        <v>345</v>
      </c>
      <c r="K111" s="828"/>
      <c r="L111" s="836"/>
      <c r="M111" s="825"/>
      <c r="N111" s="828"/>
      <c r="O111" s="828"/>
      <c r="P111" s="833"/>
    </row>
    <row r="112" ht="17" spans="1:16">
      <c r="A112" s="825" t="s">
        <v>315</v>
      </c>
      <c r="B112" s="952"/>
      <c r="C112" s="828">
        <v>0</v>
      </c>
      <c r="D112" s="828">
        <v>84</v>
      </c>
      <c r="E112" s="828">
        <v>76</v>
      </c>
      <c r="F112" s="828">
        <v>0</v>
      </c>
      <c r="G112" s="829">
        <v>237</v>
      </c>
      <c r="H112" s="830">
        <v>59</v>
      </c>
      <c r="I112" s="835">
        <v>47</v>
      </c>
      <c r="J112" s="828">
        <f t="shared" si="2"/>
        <v>343</v>
      </c>
      <c r="K112" s="828"/>
      <c r="L112" s="836"/>
      <c r="M112" s="825"/>
      <c r="N112" s="828"/>
      <c r="O112" s="828"/>
      <c r="P112" s="833"/>
    </row>
    <row r="113" ht="17" spans="1:16">
      <c r="A113" s="825" t="s">
        <v>316</v>
      </c>
      <c r="B113" s="953"/>
      <c r="C113" s="828">
        <v>8</v>
      </c>
      <c r="D113" s="828">
        <v>72</v>
      </c>
      <c r="E113" s="828">
        <v>93</v>
      </c>
      <c r="F113" s="828">
        <v>1</v>
      </c>
      <c r="G113" s="829">
        <v>205</v>
      </c>
      <c r="H113" s="830">
        <v>98</v>
      </c>
      <c r="I113" s="835">
        <v>39</v>
      </c>
      <c r="J113" s="828">
        <f t="shared" si="2"/>
        <v>342</v>
      </c>
      <c r="K113" s="828"/>
      <c r="L113" s="836"/>
      <c r="M113" s="828"/>
      <c r="N113" s="828"/>
      <c r="O113" s="828"/>
      <c r="P113" s="833"/>
    </row>
    <row r="114" ht="17" spans="1:16">
      <c r="A114" s="825" t="s">
        <v>317</v>
      </c>
      <c r="B114" s="954"/>
      <c r="C114" s="828">
        <v>0</v>
      </c>
      <c r="D114" s="828">
        <v>80</v>
      </c>
      <c r="E114" s="828">
        <v>85</v>
      </c>
      <c r="F114" s="828">
        <v>0</v>
      </c>
      <c r="G114" s="829">
        <v>242</v>
      </c>
      <c r="H114" s="830">
        <v>72</v>
      </c>
      <c r="I114" s="835">
        <v>27</v>
      </c>
      <c r="J114" s="828">
        <f t="shared" si="2"/>
        <v>341</v>
      </c>
      <c r="K114" s="828"/>
      <c r="L114" s="836"/>
      <c r="M114" s="825"/>
      <c r="N114" s="828"/>
      <c r="O114" s="828"/>
      <c r="P114" s="833"/>
    </row>
    <row r="115" ht="17" spans="1:16">
      <c r="A115" s="825" t="s">
        <v>318</v>
      </c>
      <c r="B115" s="955"/>
      <c r="C115" s="828">
        <v>22</v>
      </c>
      <c r="D115" s="828">
        <v>76</v>
      </c>
      <c r="E115" s="828">
        <v>54</v>
      </c>
      <c r="F115" s="828">
        <v>12</v>
      </c>
      <c r="G115" s="829">
        <v>167</v>
      </c>
      <c r="H115" s="830">
        <v>83</v>
      </c>
      <c r="I115" s="835">
        <v>90</v>
      </c>
      <c r="J115" s="828">
        <f t="shared" si="2"/>
        <v>340</v>
      </c>
      <c r="K115" s="828"/>
      <c r="L115" s="836"/>
      <c r="M115" s="825"/>
      <c r="N115" s="828"/>
      <c r="O115" s="828"/>
      <c r="P115" s="833"/>
    </row>
    <row r="116" ht="17" spans="1:16">
      <c r="A116" s="825" t="s">
        <v>319</v>
      </c>
      <c r="B116" s="956"/>
      <c r="C116" s="828">
        <v>0</v>
      </c>
      <c r="D116" s="828">
        <v>83</v>
      </c>
      <c r="E116" s="828">
        <v>81</v>
      </c>
      <c r="F116" s="828">
        <v>0</v>
      </c>
      <c r="G116" s="829">
        <v>242</v>
      </c>
      <c r="H116" s="830">
        <v>62</v>
      </c>
      <c r="I116" s="835">
        <v>35</v>
      </c>
      <c r="J116" s="828">
        <f t="shared" si="2"/>
        <v>339</v>
      </c>
      <c r="K116" s="828"/>
      <c r="L116" s="836"/>
      <c r="M116" s="825"/>
      <c r="N116" s="828"/>
      <c r="O116" s="828"/>
      <c r="P116" s="833"/>
    </row>
    <row r="117" ht="17" spans="1:16">
      <c r="A117" s="825" t="s">
        <v>320</v>
      </c>
      <c r="B117" s="957"/>
      <c r="C117" s="828">
        <v>0</v>
      </c>
      <c r="D117" s="828">
        <v>86</v>
      </c>
      <c r="E117" s="828">
        <v>74</v>
      </c>
      <c r="F117" s="828">
        <v>0</v>
      </c>
      <c r="G117" s="829">
        <v>237</v>
      </c>
      <c r="H117" s="830">
        <v>51</v>
      </c>
      <c r="I117" s="835">
        <v>51</v>
      </c>
      <c r="J117" s="828">
        <f t="shared" si="2"/>
        <v>339</v>
      </c>
      <c r="K117" s="828"/>
      <c r="L117" s="836"/>
      <c r="M117" s="825"/>
      <c r="N117" s="828"/>
      <c r="O117" s="828"/>
      <c r="P117" s="833"/>
    </row>
    <row r="118" ht="118" spans="1:16">
      <c r="A118" s="825" t="s">
        <v>321</v>
      </c>
      <c r="B118" s="958"/>
      <c r="C118" s="828">
        <v>0</v>
      </c>
      <c r="D118" s="828">
        <v>83</v>
      </c>
      <c r="E118" s="828">
        <v>81</v>
      </c>
      <c r="F118" s="828">
        <v>0</v>
      </c>
      <c r="G118" s="829">
        <v>240</v>
      </c>
      <c r="H118" s="830">
        <v>63</v>
      </c>
      <c r="I118" s="835">
        <v>36</v>
      </c>
      <c r="J118" s="828">
        <f t="shared" si="2"/>
        <v>339</v>
      </c>
      <c r="K118" s="828"/>
      <c r="L118" s="836"/>
      <c r="M118" s="832" t="s">
        <v>322</v>
      </c>
      <c r="N118" s="872"/>
      <c r="O118" s="873"/>
      <c r="P118" s="833" t="s">
        <v>323</v>
      </c>
    </row>
    <row r="119" ht="17" spans="1:16">
      <c r="A119" s="825" t="s">
        <v>324</v>
      </c>
      <c r="B119" s="959"/>
      <c r="C119" s="828">
        <v>0</v>
      </c>
      <c r="D119" s="828">
        <v>81</v>
      </c>
      <c r="E119" s="828">
        <v>84</v>
      </c>
      <c r="F119" s="828">
        <v>0</v>
      </c>
      <c r="G119" s="829">
        <v>241</v>
      </c>
      <c r="H119" s="830">
        <v>68</v>
      </c>
      <c r="I119" s="835">
        <v>29</v>
      </c>
      <c r="J119" s="828">
        <f t="shared" si="2"/>
        <v>338</v>
      </c>
      <c r="K119" s="828"/>
      <c r="L119" s="836"/>
      <c r="M119" s="825"/>
      <c r="N119" s="828"/>
      <c r="O119" s="828"/>
      <c r="P119" s="833"/>
    </row>
    <row r="120" ht="17" spans="1:16">
      <c r="A120" s="825" t="s">
        <v>325</v>
      </c>
      <c r="B120" s="960"/>
      <c r="C120" s="828">
        <v>0</v>
      </c>
      <c r="D120" s="828">
        <v>80</v>
      </c>
      <c r="E120" s="828">
        <v>85</v>
      </c>
      <c r="F120" s="828">
        <v>0</v>
      </c>
      <c r="G120" s="829">
        <v>243</v>
      </c>
      <c r="H120" s="830">
        <v>71</v>
      </c>
      <c r="I120" s="835">
        <v>24</v>
      </c>
      <c r="J120" s="828">
        <f t="shared" si="2"/>
        <v>338</v>
      </c>
      <c r="K120" s="828"/>
      <c r="L120" s="836"/>
      <c r="M120" s="825"/>
      <c r="N120" s="872"/>
      <c r="O120" s="828"/>
      <c r="P120" s="833" t="s">
        <v>326</v>
      </c>
    </row>
    <row r="121" ht="17" spans="1:16">
      <c r="A121" s="825" t="s">
        <v>327</v>
      </c>
      <c r="B121" s="961"/>
      <c r="C121" s="828">
        <v>0</v>
      </c>
      <c r="D121" s="828">
        <v>84</v>
      </c>
      <c r="E121" s="828">
        <v>82</v>
      </c>
      <c r="F121" s="828">
        <v>0</v>
      </c>
      <c r="G121" s="829">
        <v>241</v>
      </c>
      <c r="H121" s="830">
        <v>60</v>
      </c>
      <c r="I121" s="835">
        <v>34</v>
      </c>
      <c r="J121" s="828">
        <f t="shared" si="2"/>
        <v>335</v>
      </c>
      <c r="K121" s="828"/>
      <c r="L121" s="836"/>
      <c r="M121" s="825"/>
      <c r="N121" s="828"/>
      <c r="O121" s="828"/>
      <c r="P121" s="833"/>
    </row>
    <row r="122" ht="17" spans="1:16">
      <c r="A122" s="825" t="s">
        <v>328</v>
      </c>
      <c r="B122" s="962"/>
      <c r="C122" s="828">
        <v>0</v>
      </c>
      <c r="D122" s="828">
        <v>84</v>
      </c>
      <c r="E122" s="828">
        <v>82</v>
      </c>
      <c r="F122" s="828">
        <v>0</v>
      </c>
      <c r="G122" s="829">
        <v>243</v>
      </c>
      <c r="H122" s="830">
        <v>59</v>
      </c>
      <c r="I122" s="835">
        <v>31</v>
      </c>
      <c r="J122" s="828">
        <f t="shared" si="2"/>
        <v>333</v>
      </c>
      <c r="K122" s="828"/>
      <c r="L122" s="836"/>
      <c r="M122" s="825"/>
      <c r="N122" s="828"/>
      <c r="O122" s="828"/>
      <c r="P122" s="833"/>
    </row>
    <row r="123" ht="118" spans="1:16">
      <c r="A123" s="825" t="s">
        <v>329</v>
      </c>
      <c r="B123" s="963"/>
      <c r="C123" s="828">
        <v>0</v>
      </c>
      <c r="D123" s="828">
        <v>90</v>
      </c>
      <c r="E123" s="828">
        <v>85</v>
      </c>
      <c r="F123" s="828">
        <v>0</v>
      </c>
      <c r="G123" s="829">
        <v>232</v>
      </c>
      <c r="H123" s="830">
        <v>56</v>
      </c>
      <c r="I123" s="835">
        <v>44</v>
      </c>
      <c r="J123" s="828">
        <f t="shared" si="2"/>
        <v>332</v>
      </c>
      <c r="K123" s="828"/>
      <c r="L123" s="828"/>
      <c r="M123" s="828"/>
      <c r="N123" s="872"/>
      <c r="O123" s="873"/>
      <c r="P123" s="833" t="s">
        <v>330</v>
      </c>
    </row>
    <row r="124" ht="118" spans="1:16">
      <c r="A124" s="825" t="s">
        <v>331</v>
      </c>
      <c r="B124" s="964"/>
      <c r="C124" s="828">
        <v>0</v>
      </c>
      <c r="D124" s="828">
        <v>90</v>
      </c>
      <c r="E124" s="828">
        <v>65</v>
      </c>
      <c r="F124" s="828">
        <v>10</v>
      </c>
      <c r="G124" s="829">
        <v>217</v>
      </c>
      <c r="H124" s="830">
        <v>51</v>
      </c>
      <c r="I124" s="835">
        <v>63</v>
      </c>
      <c r="J124" s="828">
        <f t="shared" si="2"/>
        <v>331</v>
      </c>
      <c r="K124" s="828"/>
      <c r="L124" s="828"/>
      <c r="M124" s="832" t="s">
        <v>332</v>
      </c>
      <c r="N124" s="828"/>
      <c r="O124" s="873"/>
      <c r="P124" s="833" t="s">
        <v>333</v>
      </c>
    </row>
    <row r="125" ht="17" spans="1:16">
      <c r="A125" s="825" t="s">
        <v>334</v>
      </c>
      <c r="B125" s="965"/>
      <c r="C125" s="828">
        <v>0</v>
      </c>
      <c r="D125" s="828">
        <v>84</v>
      </c>
      <c r="E125" s="828">
        <v>82</v>
      </c>
      <c r="F125" s="828">
        <v>0</v>
      </c>
      <c r="G125" s="829">
        <v>245</v>
      </c>
      <c r="H125" s="830">
        <v>57</v>
      </c>
      <c r="I125" s="835">
        <v>28</v>
      </c>
      <c r="J125" s="828">
        <f t="shared" ref="J125:J157" si="3">G125+H125+I125</f>
        <v>330</v>
      </c>
      <c r="K125" s="828"/>
      <c r="L125" s="836"/>
      <c r="M125" s="825"/>
      <c r="N125" s="828"/>
      <c r="O125" s="828"/>
      <c r="P125" s="833"/>
    </row>
    <row r="126" ht="17" spans="1:16">
      <c r="A126" s="825" t="s">
        <v>335</v>
      </c>
      <c r="B126" s="966"/>
      <c r="C126" s="828">
        <v>0</v>
      </c>
      <c r="D126" s="828">
        <v>76</v>
      </c>
      <c r="E126" s="828">
        <v>97</v>
      </c>
      <c r="F126" s="828">
        <v>0</v>
      </c>
      <c r="G126" s="829">
        <v>216</v>
      </c>
      <c r="H126" s="830">
        <v>89</v>
      </c>
      <c r="I126" s="835">
        <v>22</v>
      </c>
      <c r="J126" s="828">
        <f t="shared" si="3"/>
        <v>327</v>
      </c>
      <c r="K126" s="828"/>
      <c r="L126" s="836"/>
      <c r="M126" s="828"/>
      <c r="N126" s="828"/>
      <c r="O126" s="828"/>
      <c r="P126" s="833"/>
    </row>
    <row r="127" ht="17" spans="1:16">
      <c r="A127" s="825" t="s">
        <v>336</v>
      </c>
      <c r="B127" s="967"/>
      <c r="C127" s="828">
        <v>13</v>
      </c>
      <c r="D127" s="828">
        <v>90</v>
      </c>
      <c r="E127" s="828">
        <v>56</v>
      </c>
      <c r="F127" s="828">
        <v>3</v>
      </c>
      <c r="G127" s="829">
        <v>191</v>
      </c>
      <c r="H127" s="830">
        <v>53</v>
      </c>
      <c r="I127" s="835">
        <v>83</v>
      </c>
      <c r="J127" s="828">
        <f t="shared" si="3"/>
        <v>327</v>
      </c>
      <c r="K127" s="828"/>
      <c r="L127" s="836"/>
      <c r="M127" s="825"/>
      <c r="N127" s="828"/>
      <c r="O127" s="828"/>
      <c r="P127" s="833"/>
    </row>
    <row r="128" ht="34" spans="1:16">
      <c r="A128" s="825" t="s">
        <v>337</v>
      </c>
      <c r="B128" s="968"/>
      <c r="C128" s="828">
        <v>35</v>
      </c>
      <c r="D128" s="828">
        <v>85</v>
      </c>
      <c r="E128" s="828">
        <v>60</v>
      </c>
      <c r="F128" s="828">
        <v>0</v>
      </c>
      <c r="G128" s="829">
        <v>176</v>
      </c>
      <c r="H128" s="830">
        <v>69</v>
      </c>
      <c r="I128" s="835">
        <v>82</v>
      </c>
      <c r="J128" s="828">
        <f t="shared" si="3"/>
        <v>327</v>
      </c>
      <c r="K128" s="832"/>
      <c r="L128" s="828"/>
      <c r="M128" s="825"/>
      <c r="N128" s="828"/>
      <c r="O128" s="828"/>
      <c r="P128" s="833" t="s">
        <v>338</v>
      </c>
    </row>
    <row r="129" ht="17" spans="1:16">
      <c r="A129" s="825" t="s">
        <v>271</v>
      </c>
      <c r="B129" s="969"/>
      <c r="C129" s="828">
        <v>0</v>
      </c>
      <c r="D129" s="828">
        <v>100</v>
      </c>
      <c r="E129" s="828">
        <v>53</v>
      </c>
      <c r="F129" s="828">
        <v>0</v>
      </c>
      <c r="G129" s="829">
        <v>240</v>
      </c>
      <c r="H129" s="830">
        <v>0</v>
      </c>
      <c r="I129" s="835">
        <v>86</v>
      </c>
      <c r="J129" s="828">
        <f t="shared" si="3"/>
        <v>326</v>
      </c>
      <c r="K129" s="828"/>
      <c r="L129" s="828"/>
      <c r="M129" s="832"/>
      <c r="N129" s="828"/>
      <c r="O129" s="828"/>
      <c r="P129" s="833" t="s">
        <v>339</v>
      </c>
    </row>
    <row r="130" ht="51" spans="1:16">
      <c r="A130" s="825" t="s">
        <v>340</v>
      </c>
      <c r="B130" s="970"/>
      <c r="C130" s="828">
        <v>40</v>
      </c>
      <c r="D130" s="828">
        <v>90</v>
      </c>
      <c r="E130" s="828">
        <v>40</v>
      </c>
      <c r="F130" s="828">
        <v>0</v>
      </c>
      <c r="G130" s="829">
        <v>167</v>
      </c>
      <c r="H130" s="830">
        <v>55</v>
      </c>
      <c r="I130" s="835">
        <v>102</v>
      </c>
      <c r="J130" s="828">
        <f t="shared" si="3"/>
        <v>324</v>
      </c>
      <c r="K130" s="832"/>
      <c r="L130" s="828"/>
      <c r="M130" s="825"/>
      <c r="N130" s="828"/>
      <c r="O130" s="828"/>
      <c r="P130" s="833" t="s">
        <v>341</v>
      </c>
    </row>
    <row r="131" ht="84" spans="1:16">
      <c r="A131" s="825" t="s">
        <v>342</v>
      </c>
      <c r="B131" s="971"/>
      <c r="C131" s="828">
        <v>45</v>
      </c>
      <c r="D131" s="828">
        <v>80</v>
      </c>
      <c r="E131" s="828">
        <v>60</v>
      </c>
      <c r="F131" s="828">
        <v>0</v>
      </c>
      <c r="G131" s="829">
        <v>158</v>
      </c>
      <c r="H131" s="830">
        <v>78</v>
      </c>
      <c r="I131" s="835">
        <v>86</v>
      </c>
      <c r="J131" s="828">
        <f t="shared" si="3"/>
        <v>322</v>
      </c>
      <c r="K131" s="832"/>
      <c r="L131" s="828"/>
      <c r="M131" s="825"/>
      <c r="N131" s="828"/>
      <c r="O131" s="828"/>
      <c r="P131" s="833" t="s">
        <v>343</v>
      </c>
    </row>
    <row r="132" ht="17" spans="1:16">
      <c r="A132" s="825" t="s">
        <v>344</v>
      </c>
      <c r="B132" s="972"/>
      <c r="C132" s="828">
        <v>0</v>
      </c>
      <c r="D132" s="828">
        <v>86</v>
      </c>
      <c r="E132" s="828">
        <v>82</v>
      </c>
      <c r="F132" s="828">
        <v>0</v>
      </c>
      <c r="G132" s="829">
        <v>237</v>
      </c>
      <c r="H132" s="830">
        <v>51</v>
      </c>
      <c r="I132" s="835">
        <v>33</v>
      </c>
      <c r="J132" s="828">
        <f t="shared" si="3"/>
        <v>321</v>
      </c>
      <c r="K132" s="828"/>
      <c r="L132" s="836"/>
      <c r="M132" s="832" t="s">
        <v>345</v>
      </c>
      <c r="N132" s="828"/>
      <c r="O132" s="828"/>
      <c r="P132" s="833" t="s">
        <v>346</v>
      </c>
    </row>
    <row r="133" ht="17" spans="1:16">
      <c r="A133" s="825" t="s">
        <v>347</v>
      </c>
      <c r="B133" s="973"/>
      <c r="C133" s="828">
        <v>0</v>
      </c>
      <c r="D133" s="828">
        <v>88</v>
      </c>
      <c r="E133" s="828">
        <v>81</v>
      </c>
      <c r="F133" s="828">
        <v>0</v>
      </c>
      <c r="G133" s="829">
        <v>236</v>
      </c>
      <c r="H133" s="830">
        <v>43</v>
      </c>
      <c r="I133" s="835">
        <v>36</v>
      </c>
      <c r="J133" s="828">
        <f t="shared" si="3"/>
        <v>315</v>
      </c>
      <c r="K133" s="828"/>
      <c r="L133" s="828"/>
      <c r="M133" s="832" t="s">
        <v>348</v>
      </c>
      <c r="N133" s="828"/>
      <c r="O133" s="828"/>
      <c r="P133" s="833" t="s">
        <v>349</v>
      </c>
    </row>
    <row r="134" ht="168" spans="1:16">
      <c r="A134" s="825" t="s">
        <v>350</v>
      </c>
      <c r="B134" s="974"/>
      <c r="C134" s="828">
        <v>0</v>
      </c>
      <c r="D134" s="828">
        <v>85</v>
      </c>
      <c r="E134" s="828">
        <v>100</v>
      </c>
      <c r="F134" s="828">
        <v>0</v>
      </c>
      <c r="G134" s="829">
        <v>233</v>
      </c>
      <c r="H134" s="830">
        <v>71</v>
      </c>
      <c r="I134" s="835">
        <v>9</v>
      </c>
      <c r="J134" s="828">
        <f t="shared" si="3"/>
        <v>313</v>
      </c>
      <c r="K134" s="828"/>
      <c r="L134" s="828"/>
      <c r="M134" s="828"/>
      <c r="N134" s="872"/>
      <c r="O134" s="873"/>
      <c r="P134" s="833" t="s">
        <v>351</v>
      </c>
    </row>
    <row r="135" ht="252" spans="1:16">
      <c r="A135" s="825" t="s">
        <v>352</v>
      </c>
      <c r="B135" s="975"/>
      <c r="C135" s="828">
        <v>0</v>
      </c>
      <c r="D135" s="828">
        <v>83</v>
      </c>
      <c r="E135" s="828">
        <v>87</v>
      </c>
      <c r="F135" s="828">
        <v>0</v>
      </c>
      <c r="G135" s="829">
        <v>244</v>
      </c>
      <c r="H135" s="830">
        <v>62</v>
      </c>
      <c r="I135" s="835">
        <v>6</v>
      </c>
      <c r="J135" s="828">
        <f t="shared" si="3"/>
        <v>312</v>
      </c>
      <c r="K135" s="832" t="s">
        <v>353</v>
      </c>
      <c r="L135" s="836"/>
      <c r="M135" s="825"/>
      <c r="N135" s="872"/>
      <c r="O135" s="873"/>
      <c r="P135" s="833" t="s">
        <v>354</v>
      </c>
    </row>
    <row r="136" ht="17" spans="1:16">
      <c r="A136" s="825" t="s">
        <v>355</v>
      </c>
      <c r="B136" s="976"/>
      <c r="C136" s="828">
        <v>0</v>
      </c>
      <c r="D136" s="828">
        <v>92</v>
      </c>
      <c r="E136" s="828">
        <v>100</v>
      </c>
      <c r="F136" s="828">
        <v>0</v>
      </c>
      <c r="G136" s="829">
        <v>255</v>
      </c>
      <c r="H136" s="830">
        <v>51</v>
      </c>
      <c r="I136" s="835">
        <v>0</v>
      </c>
      <c r="J136" s="828">
        <f t="shared" si="3"/>
        <v>306</v>
      </c>
      <c r="K136" s="828"/>
      <c r="L136" s="828"/>
      <c r="M136" s="832"/>
      <c r="N136" s="828"/>
      <c r="O136" s="828"/>
      <c r="P136" s="833" t="s">
        <v>356</v>
      </c>
    </row>
    <row r="137" ht="101" spans="1:16">
      <c r="A137" s="825" t="s">
        <v>357</v>
      </c>
      <c r="B137" s="977"/>
      <c r="C137" s="828">
        <v>0</v>
      </c>
      <c r="D137" s="828">
        <v>77</v>
      </c>
      <c r="E137" s="828">
        <v>75</v>
      </c>
      <c r="F137" s="828">
        <v>28</v>
      </c>
      <c r="G137" s="829">
        <v>189</v>
      </c>
      <c r="H137" s="830">
        <v>72</v>
      </c>
      <c r="I137" s="835">
        <v>44</v>
      </c>
      <c r="J137" s="828">
        <f t="shared" si="3"/>
        <v>305</v>
      </c>
      <c r="K137" s="828"/>
      <c r="L137" s="828"/>
      <c r="M137" s="832" t="s">
        <v>358</v>
      </c>
      <c r="N137" s="872"/>
      <c r="O137" s="873"/>
      <c r="P137" s="833" t="s">
        <v>359</v>
      </c>
    </row>
    <row r="138" ht="135" spans="1:16">
      <c r="A138" s="825" t="s">
        <v>360</v>
      </c>
      <c r="B138" s="978"/>
      <c r="C138" s="828">
        <v>0</v>
      </c>
      <c r="D138" s="828">
        <v>77</v>
      </c>
      <c r="E138" s="828">
        <v>77</v>
      </c>
      <c r="F138" s="828">
        <v>28</v>
      </c>
      <c r="G138" s="829">
        <v>189</v>
      </c>
      <c r="H138" s="830">
        <v>72</v>
      </c>
      <c r="I138" s="835">
        <v>42</v>
      </c>
      <c r="J138" s="828">
        <f t="shared" si="3"/>
        <v>303</v>
      </c>
      <c r="K138" s="828"/>
      <c r="L138" s="828"/>
      <c r="M138" s="832"/>
      <c r="N138" s="872"/>
      <c r="O138" s="873"/>
      <c r="P138" s="833" t="s">
        <v>361</v>
      </c>
    </row>
    <row r="139" ht="17" spans="1:16">
      <c r="A139" s="825" t="s">
        <v>362</v>
      </c>
      <c r="B139" s="979"/>
      <c r="C139" s="828">
        <v>8</v>
      </c>
      <c r="D139" s="828">
        <v>95</v>
      </c>
      <c r="E139" s="828">
        <v>100</v>
      </c>
      <c r="F139" s="828">
        <v>1</v>
      </c>
      <c r="G139" s="829">
        <v>220</v>
      </c>
      <c r="H139" s="830">
        <v>48</v>
      </c>
      <c r="I139" s="835">
        <v>35</v>
      </c>
      <c r="J139" s="828">
        <f t="shared" si="3"/>
        <v>303</v>
      </c>
      <c r="K139" s="828"/>
      <c r="L139" s="828"/>
      <c r="M139" s="832"/>
      <c r="N139" s="828"/>
      <c r="O139" s="828"/>
      <c r="P139" s="833" t="s">
        <v>363</v>
      </c>
    </row>
    <row r="140" ht="17" spans="1:16">
      <c r="A140" s="825" t="s">
        <v>364</v>
      </c>
      <c r="B140" s="980"/>
      <c r="C140" s="828">
        <v>0</v>
      </c>
      <c r="D140" s="828">
        <v>93</v>
      </c>
      <c r="E140" s="828">
        <v>76</v>
      </c>
      <c r="F140" s="828">
        <v>0</v>
      </c>
      <c r="G140" s="829">
        <v>222</v>
      </c>
      <c r="H140" s="830">
        <v>28</v>
      </c>
      <c r="I140" s="835">
        <v>49</v>
      </c>
      <c r="J140" s="828">
        <f t="shared" si="3"/>
        <v>299</v>
      </c>
      <c r="K140" s="828"/>
      <c r="L140" s="836"/>
      <c r="M140" s="825"/>
      <c r="N140" s="828"/>
      <c r="O140" s="828"/>
      <c r="P140" s="833"/>
    </row>
    <row r="141" ht="17" spans="1:16">
      <c r="A141" s="825" t="s">
        <v>365</v>
      </c>
      <c r="B141" s="981"/>
      <c r="C141" s="828">
        <v>0</v>
      </c>
      <c r="D141" s="828">
        <v>89</v>
      </c>
      <c r="E141" s="828">
        <v>84</v>
      </c>
      <c r="F141" s="828">
        <v>0</v>
      </c>
      <c r="G141" s="829">
        <v>235</v>
      </c>
      <c r="H141" s="830">
        <v>38</v>
      </c>
      <c r="I141" s="835">
        <v>26</v>
      </c>
      <c r="J141" s="828">
        <f t="shared" si="3"/>
        <v>299</v>
      </c>
      <c r="K141" s="828"/>
      <c r="L141" s="836"/>
      <c r="M141" s="825"/>
      <c r="N141" s="828"/>
      <c r="O141" s="828"/>
      <c r="P141" s="833"/>
    </row>
    <row r="142" ht="17" spans="1:16">
      <c r="A142" s="825" t="s">
        <v>366</v>
      </c>
      <c r="B142" s="982"/>
      <c r="C142" s="828">
        <v>29</v>
      </c>
      <c r="D142" s="828">
        <v>73</v>
      </c>
      <c r="E142" s="828">
        <v>51</v>
      </c>
      <c r="F142" s="828">
        <v>28</v>
      </c>
      <c r="G142" s="829">
        <v>137</v>
      </c>
      <c r="H142" s="830">
        <v>78</v>
      </c>
      <c r="I142" s="835">
        <v>84</v>
      </c>
      <c r="J142" s="828">
        <f t="shared" si="3"/>
        <v>299</v>
      </c>
      <c r="K142" s="828"/>
      <c r="L142" s="836"/>
      <c r="M142" s="825"/>
      <c r="N142" s="828"/>
      <c r="O142" s="828"/>
      <c r="P142" s="833"/>
    </row>
    <row r="143" ht="17" spans="1:16">
      <c r="A143" s="825" t="s">
        <v>367</v>
      </c>
      <c r="B143" s="983"/>
      <c r="C143" s="828">
        <v>4</v>
      </c>
      <c r="D143" s="828">
        <v>82</v>
      </c>
      <c r="E143" s="828">
        <v>99</v>
      </c>
      <c r="F143" s="828">
        <v>0</v>
      </c>
      <c r="G143" s="829">
        <v>207</v>
      </c>
      <c r="H143" s="830">
        <v>72</v>
      </c>
      <c r="I143" s="835">
        <v>19</v>
      </c>
      <c r="J143" s="828">
        <f t="shared" si="3"/>
        <v>298</v>
      </c>
      <c r="K143" s="828"/>
      <c r="L143" s="836"/>
      <c r="M143" s="825"/>
      <c r="N143" s="828"/>
      <c r="O143" s="828"/>
      <c r="P143" s="833"/>
    </row>
    <row r="144" ht="17" spans="1:16">
      <c r="A144" s="825" t="s">
        <v>368</v>
      </c>
      <c r="B144" s="984"/>
      <c r="C144" s="828">
        <v>15</v>
      </c>
      <c r="D144" s="828">
        <v>90</v>
      </c>
      <c r="E144" s="828">
        <v>100</v>
      </c>
      <c r="F144" s="828">
        <v>5</v>
      </c>
      <c r="G144" s="829">
        <v>200</v>
      </c>
      <c r="H144" s="830">
        <v>60</v>
      </c>
      <c r="I144" s="835">
        <v>35</v>
      </c>
      <c r="J144" s="828">
        <f t="shared" si="3"/>
        <v>295</v>
      </c>
      <c r="K144" s="828"/>
      <c r="L144" s="828"/>
      <c r="M144" s="832"/>
      <c r="N144" s="872"/>
      <c r="O144" s="828"/>
      <c r="P144" s="833" t="s">
        <v>369</v>
      </c>
    </row>
    <row r="145" ht="68" spans="1:16">
      <c r="A145" s="825" t="s">
        <v>370</v>
      </c>
      <c r="B145" s="985"/>
      <c r="C145" s="828">
        <v>0</v>
      </c>
      <c r="D145" s="828">
        <v>98</v>
      </c>
      <c r="E145" s="828">
        <v>78</v>
      </c>
      <c r="F145" s="828">
        <v>0</v>
      </c>
      <c r="G145" s="829">
        <v>230</v>
      </c>
      <c r="H145" s="830">
        <v>16</v>
      </c>
      <c r="I145" s="835">
        <v>48</v>
      </c>
      <c r="J145" s="828">
        <f t="shared" si="3"/>
        <v>294</v>
      </c>
      <c r="K145" s="828"/>
      <c r="L145" s="828"/>
      <c r="M145" s="832" t="s">
        <v>371</v>
      </c>
      <c r="N145" s="828"/>
      <c r="O145" s="873"/>
      <c r="P145" s="833" t="s">
        <v>372</v>
      </c>
    </row>
    <row r="146" ht="17" spans="1:16">
      <c r="A146" s="825" t="s">
        <v>373</v>
      </c>
      <c r="B146" s="986"/>
      <c r="C146" s="828">
        <v>20</v>
      </c>
      <c r="D146" s="828">
        <v>76</v>
      </c>
      <c r="E146" s="828">
        <v>92</v>
      </c>
      <c r="F146" s="828">
        <v>9</v>
      </c>
      <c r="G146" s="829">
        <v>166</v>
      </c>
      <c r="H146" s="830">
        <v>82</v>
      </c>
      <c r="I146" s="835">
        <v>44</v>
      </c>
      <c r="J146" s="828">
        <f t="shared" si="3"/>
        <v>292</v>
      </c>
      <c r="K146" s="828"/>
      <c r="L146" s="836"/>
      <c r="M146" s="825"/>
      <c r="N146" s="872"/>
      <c r="O146" s="828"/>
      <c r="P146" s="833" t="s">
        <v>374</v>
      </c>
    </row>
    <row r="147" ht="17" spans="1:16">
      <c r="A147" s="825" t="s">
        <v>375</v>
      </c>
      <c r="B147" s="987"/>
      <c r="C147" s="828">
        <v>11</v>
      </c>
      <c r="D147" s="828">
        <v>93</v>
      </c>
      <c r="E147" s="828">
        <v>77</v>
      </c>
      <c r="F147" s="828">
        <v>2</v>
      </c>
      <c r="G147" s="829">
        <v>192</v>
      </c>
      <c r="H147" s="830">
        <v>44</v>
      </c>
      <c r="I147" s="835">
        <v>56</v>
      </c>
      <c r="J147" s="828">
        <f t="shared" si="3"/>
        <v>292</v>
      </c>
      <c r="K147" s="828"/>
      <c r="L147" s="836"/>
      <c r="M147" s="825"/>
      <c r="N147" s="872"/>
      <c r="O147" s="828"/>
      <c r="P147" s="833" t="s">
        <v>376</v>
      </c>
    </row>
    <row r="148" ht="17" spans="1:16">
      <c r="A148" s="825" t="s">
        <v>377</v>
      </c>
      <c r="B148" s="988"/>
      <c r="C148" s="828">
        <v>0</v>
      </c>
      <c r="D148" s="828">
        <v>90</v>
      </c>
      <c r="E148" s="828">
        <v>90</v>
      </c>
      <c r="F148" s="828">
        <v>0</v>
      </c>
      <c r="G148" s="829">
        <v>222</v>
      </c>
      <c r="H148" s="830">
        <v>42</v>
      </c>
      <c r="I148" s="835">
        <v>24</v>
      </c>
      <c r="J148" s="828">
        <f t="shared" si="3"/>
        <v>288</v>
      </c>
      <c r="K148" s="828"/>
      <c r="L148" s="836"/>
      <c r="M148" s="825"/>
      <c r="N148" s="828"/>
      <c r="O148" s="828"/>
      <c r="P148" s="833"/>
    </row>
    <row r="149" ht="17" spans="1:16">
      <c r="A149" s="825" t="s">
        <v>378</v>
      </c>
      <c r="B149" s="989"/>
      <c r="C149" s="828">
        <v>14</v>
      </c>
      <c r="D149" s="828">
        <v>100</v>
      </c>
      <c r="E149" s="828">
        <v>83</v>
      </c>
      <c r="F149" s="828">
        <v>4</v>
      </c>
      <c r="G149" s="829">
        <v>201</v>
      </c>
      <c r="H149" s="830">
        <v>31</v>
      </c>
      <c r="I149" s="835">
        <v>55</v>
      </c>
      <c r="J149" s="828">
        <f t="shared" si="3"/>
        <v>287</v>
      </c>
      <c r="K149" s="828"/>
      <c r="L149" s="828"/>
      <c r="M149" s="832"/>
      <c r="N149" s="872"/>
      <c r="O149" s="828"/>
      <c r="P149" s="833" t="s">
        <v>379</v>
      </c>
    </row>
    <row r="150" ht="17" spans="1:16">
      <c r="A150" s="825" t="s">
        <v>380</v>
      </c>
      <c r="B150" s="990"/>
      <c r="C150" s="828">
        <v>5</v>
      </c>
      <c r="D150" s="828">
        <v>96</v>
      </c>
      <c r="E150" s="828">
        <v>73</v>
      </c>
      <c r="F150" s="828">
        <v>1</v>
      </c>
      <c r="G150" s="829">
        <v>204</v>
      </c>
      <c r="H150" s="830">
        <v>22</v>
      </c>
      <c r="I150" s="835">
        <v>58</v>
      </c>
      <c r="J150" s="828">
        <f t="shared" si="3"/>
        <v>284</v>
      </c>
      <c r="K150" s="828"/>
      <c r="L150" s="836"/>
      <c r="M150" s="825"/>
      <c r="N150" s="828"/>
      <c r="O150" s="828"/>
      <c r="P150" s="833"/>
    </row>
    <row r="151" ht="135" spans="1:16">
      <c r="A151" s="825" t="s">
        <v>381</v>
      </c>
      <c r="B151" s="991"/>
      <c r="C151" s="828">
        <v>10</v>
      </c>
      <c r="D151" s="828">
        <v>100</v>
      </c>
      <c r="E151" s="828">
        <v>65</v>
      </c>
      <c r="F151" s="828">
        <v>0</v>
      </c>
      <c r="G151" s="829">
        <v>215</v>
      </c>
      <c r="H151" s="830">
        <v>4</v>
      </c>
      <c r="I151" s="831">
        <v>64</v>
      </c>
      <c r="J151" s="828">
        <f t="shared" si="3"/>
        <v>283</v>
      </c>
      <c r="K151" s="828"/>
      <c r="L151" s="828"/>
      <c r="M151" s="828"/>
      <c r="N151" s="828"/>
      <c r="O151" s="873"/>
      <c r="P151" s="833" t="s">
        <v>382</v>
      </c>
    </row>
    <row r="152" ht="17" spans="1:16">
      <c r="A152" s="992" t="s">
        <v>383</v>
      </c>
      <c r="B152" s="993"/>
      <c r="C152" s="828">
        <v>35</v>
      </c>
      <c r="D152" s="828">
        <v>90</v>
      </c>
      <c r="E152" s="828">
        <v>90</v>
      </c>
      <c r="F152" s="828">
        <v>0</v>
      </c>
      <c r="G152" s="829">
        <v>177</v>
      </c>
      <c r="H152" s="830">
        <v>59</v>
      </c>
      <c r="I152" s="835">
        <v>46</v>
      </c>
      <c r="J152" s="828">
        <f t="shared" si="3"/>
        <v>282</v>
      </c>
      <c r="K152" s="832"/>
      <c r="L152" s="828"/>
      <c r="M152" s="825"/>
      <c r="N152" s="828"/>
      <c r="O152" s="828"/>
      <c r="P152" s="833" t="s">
        <v>384</v>
      </c>
    </row>
    <row r="153" ht="17" spans="1:16">
      <c r="A153" s="825" t="s">
        <v>385</v>
      </c>
      <c r="B153" s="994"/>
      <c r="C153" s="828">
        <v>30</v>
      </c>
      <c r="D153" s="828">
        <v>90</v>
      </c>
      <c r="E153" s="828">
        <v>95</v>
      </c>
      <c r="F153" s="828">
        <v>0</v>
      </c>
      <c r="G153" s="829">
        <v>185</v>
      </c>
      <c r="H153" s="830">
        <v>58</v>
      </c>
      <c r="I153" s="835">
        <v>38</v>
      </c>
      <c r="J153" s="828">
        <f t="shared" si="3"/>
        <v>281</v>
      </c>
      <c r="K153" s="832"/>
      <c r="L153" s="828"/>
      <c r="M153" s="825"/>
      <c r="N153" s="828"/>
      <c r="O153" s="828"/>
      <c r="P153" s="833" t="s">
        <v>386</v>
      </c>
    </row>
    <row r="154" ht="17" spans="1:16">
      <c r="A154" s="825" t="s">
        <v>387</v>
      </c>
      <c r="B154" s="995"/>
      <c r="C154" s="828">
        <v>1</v>
      </c>
      <c r="D154" s="828">
        <v>95</v>
      </c>
      <c r="E154" s="828">
        <v>82</v>
      </c>
      <c r="F154" s="828">
        <v>0</v>
      </c>
      <c r="G154" s="829">
        <v>209</v>
      </c>
      <c r="H154" s="830">
        <v>26</v>
      </c>
      <c r="I154" s="835">
        <v>45</v>
      </c>
      <c r="J154" s="828">
        <f t="shared" si="3"/>
        <v>280</v>
      </c>
      <c r="K154" s="828"/>
      <c r="L154" s="836"/>
      <c r="M154" s="825"/>
      <c r="N154" s="828"/>
      <c r="O154" s="828"/>
      <c r="P154" s="833"/>
    </row>
    <row r="155" ht="17" spans="1:16">
      <c r="A155" s="825" t="s">
        <v>388</v>
      </c>
      <c r="B155" s="996"/>
      <c r="C155" s="828">
        <v>10</v>
      </c>
      <c r="D155" s="828">
        <v>96</v>
      </c>
      <c r="E155" s="828">
        <v>82</v>
      </c>
      <c r="F155" s="828">
        <v>2</v>
      </c>
      <c r="G155" s="829">
        <v>194</v>
      </c>
      <c r="H155" s="830">
        <v>31</v>
      </c>
      <c r="I155" s="835">
        <v>48</v>
      </c>
      <c r="J155" s="828">
        <f t="shared" si="3"/>
        <v>273</v>
      </c>
      <c r="K155" s="828"/>
      <c r="L155" s="836"/>
      <c r="M155" s="825"/>
      <c r="N155" s="828"/>
      <c r="O155" s="828"/>
      <c r="P155" s="833"/>
    </row>
    <row r="156" ht="17" spans="1:16">
      <c r="A156" s="825" t="s">
        <v>389</v>
      </c>
      <c r="B156" s="997"/>
      <c r="C156" s="828">
        <v>19</v>
      </c>
      <c r="D156" s="828">
        <v>89</v>
      </c>
      <c r="E156" s="828">
        <v>85</v>
      </c>
      <c r="F156" s="828">
        <v>9</v>
      </c>
      <c r="G156" s="829">
        <v>171</v>
      </c>
      <c r="H156" s="830">
        <v>55</v>
      </c>
      <c r="I156" s="835">
        <v>47</v>
      </c>
      <c r="J156" s="828">
        <f t="shared" si="3"/>
        <v>273</v>
      </c>
      <c r="K156" s="828"/>
      <c r="L156" s="836"/>
      <c r="M156" s="825"/>
      <c r="N156" s="828"/>
      <c r="O156" s="828"/>
      <c r="P156" s="833"/>
    </row>
    <row r="157" ht="17" spans="1:16">
      <c r="A157" s="825" t="s">
        <v>390</v>
      </c>
      <c r="B157" s="998"/>
      <c r="C157" s="828">
        <v>0</v>
      </c>
      <c r="D157" s="828">
        <v>92</v>
      </c>
      <c r="E157" s="828">
        <v>95</v>
      </c>
      <c r="F157" s="828">
        <v>0</v>
      </c>
      <c r="G157" s="829">
        <v>212</v>
      </c>
      <c r="H157" s="830">
        <v>37</v>
      </c>
      <c r="I157" s="835">
        <v>23</v>
      </c>
      <c r="J157" s="828">
        <f t="shared" si="3"/>
        <v>272</v>
      </c>
      <c r="K157" s="832" t="s">
        <v>391</v>
      </c>
      <c r="L157" s="836"/>
      <c r="M157" s="825"/>
      <c r="N157" s="828"/>
      <c r="O157" s="828"/>
      <c r="P157" s="833" t="s">
        <v>392</v>
      </c>
    </row>
    <row r="158" ht="17" spans="1:16">
      <c r="A158" s="825" t="s">
        <v>393</v>
      </c>
      <c r="B158" s="999"/>
      <c r="C158" s="828">
        <v>25</v>
      </c>
      <c r="D158" s="828">
        <v>95</v>
      </c>
      <c r="E158" s="828">
        <v>100</v>
      </c>
      <c r="F158" s="828">
        <v>0</v>
      </c>
      <c r="G158" s="829">
        <v>193</v>
      </c>
      <c r="H158" s="830">
        <v>44</v>
      </c>
      <c r="I158" s="835">
        <v>31</v>
      </c>
      <c r="J158" s="828">
        <f t="shared" ref="J158:J162" si="4">G158+H158+I158</f>
        <v>268</v>
      </c>
      <c r="K158" s="832"/>
      <c r="L158" s="828"/>
      <c r="M158" s="825"/>
      <c r="N158" s="828"/>
      <c r="O158" s="828"/>
      <c r="P158" s="833" t="s">
        <v>394</v>
      </c>
    </row>
    <row r="159" ht="17" spans="1:16">
      <c r="A159" s="825" t="s">
        <v>395</v>
      </c>
      <c r="B159" s="1000"/>
      <c r="C159" s="828">
        <v>41</v>
      </c>
      <c r="D159" s="828">
        <v>76</v>
      </c>
      <c r="E159" s="828">
        <v>64</v>
      </c>
      <c r="F159" s="828">
        <v>65</v>
      </c>
      <c r="G159" s="829">
        <v>175</v>
      </c>
      <c r="H159" s="830">
        <v>46</v>
      </c>
      <c r="I159" s="835">
        <v>43</v>
      </c>
      <c r="J159" s="828">
        <f t="shared" si="4"/>
        <v>264</v>
      </c>
      <c r="K159" s="828"/>
      <c r="L159" s="836"/>
      <c r="M159" s="825"/>
      <c r="N159" s="828"/>
      <c r="O159" s="828"/>
      <c r="P159" s="833"/>
    </row>
    <row r="160" ht="34" spans="1:16">
      <c r="A160" s="825" t="s">
        <v>396</v>
      </c>
      <c r="B160" s="1001"/>
      <c r="C160" s="828">
        <v>30</v>
      </c>
      <c r="D160" s="828">
        <v>100</v>
      </c>
      <c r="E160" s="828">
        <v>80</v>
      </c>
      <c r="F160" s="828">
        <v>0</v>
      </c>
      <c r="G160" s="829">
        <v>184</v>
      </c>
      <c r="H160" s="830">
        <v>26</v>
      </c>
      <c r="I160" s="835">
        <v>53</v>
      </c>
      <c r="J160" s="828">
        <f t="shared" si="4"/>
        <v>263</v>
      </c>
      <c r="K160" s="832"/>
      <c r="L160" s="828"/>
      <c r="M160" s="825"/>
      <c r="N160" s="828"/>
      <c r="O160" s="828"/>
      <c r="P160" s="833" t="s">
        <v>397</v>
      </c>
    </row>
    <row r="161" ht="135" spans="1:16">
      <c r="A161" s="825" t="s">
        <v>398</v>
      </c>
      <c r="B161" s="1002"/>
      <c r="C161" s="828">
        <v>0</v>
      </c>
      <c r="D161" s="828">
        <v>95</v>
      </c>
      <c r="E161" s="828">
        <v>70</v>
      </c>
      <c r="F161" s="828">
        <v>27</v>
      </c>
      <c r="G161" s="829">
        <v>188</v>
      </c>
      <c r="H161" s="830">
        <v>23</v>
      </c>
      <c r="I161" s="831">
        <v>45</v>
      </c>
      <c r="J161" s="828">
        <f t="shared" si="4"/>
        <v>256</v>
      </c>
      <c r="K161" s="828"/>
      <c r="L161" s="828"/>
      <c r="M161" s="828"/>
      <c r="N161" s="828"/>
      <c r="O161" s="873"/>
      <c r="P161" s="833" t="s">
        <v>399</v>
      </c>
    </row>
    <row r="162" ht="252" spans="1:16">
      <c r="A162" s="825" t="s">
        <v>400</v>
      </c>
      <c r="B162" s="1003"/>
      <c r="C162" s="828">
        <v>0</v>
      </c>
      <c r="D162" s="828">
        <v>100</v>
      </c>
      <c r="E162" s="828">
        <v>75</v>
      </c>
      <c r="F162" s="828">
        <v>15</v>
      </c>
      <c r="G162" s="829">
        <v>207</v>
      </c>
      <c r="H162" s="830">
        <v>0</v>
      </c>
      <c r="I162" s="831">
        <v>45</v>
      </c>
      <c r="J162" s="828">
        <f t="shared" si="4"/>
        <v>252</v>
      </c>
      <c r="K162" s="828"/>
      <c r="L162" s="828"/>
      <c r="M162" s="828"/>
      <c r="N162" s="828"/>
      <c r="O162" s="873"/>
      <c r="P162" s="833" t="s">
        <v>401</v>
      </c>
    </row>
    <row r="163" ht="17" spans="1:16">
      <c r="A163" s="825" t="s">
        <v>402</v>
      </c>
      <c r="B163" s="1004"/>
      <c r="C163" s="828">
        <v>20</v>
      </c>
      <c r="D163" s="828">
        <v>100</v>
      </c>
      <c r="E163" s="828">
        <v>100</v>
      </c>
      <c r="F163" s="828">
        <v>0</v>
      </c>
      <c r="G163" s="829">
        <v>200</v>
      </c>
      <c r="H163" s="830">
        <v>22</v>
      </c>
      <c r="I163" s="835">
        <v>29</v>
      </c>
      <c r="J163" s="828">
        <f t="shared" ref="J163:J171" si="5">G163+H163+I163</f>
        <v>251</v>
      </c>
      <c r="K163" s="832"/>
      <c r="L163" s="828"/>
      <c r="M163" s="825"/>
      <c r="N163" s="828"/>
      <c r="O163" s="828"/>
      <c r="P163" s="833" t="s">
        <v>403</v>
      </c>
    </row>
    <row r="164" ht="34" spans="1:16">
      <c r="A164" s="825" t="s">
        <v>404</v>
      </c>
      <c r="B164" s="1005"/>
      <c r="C164" s="828">
        <v>45</v>
      </c>
      <c r="D164" s="828">
        <v>85</v>
      </c>
      <c r="E164" s="828">
        <v>100</v>
      </c>
      <c r="F164" s="828">
        <v>10</v>
      </c>
      <c r="G164" s="829">
        <v>149</v>
      </c>
      <c r="H164" s="830">
        <v>64</v>
      </c>
      <c r="I164" s="835">
        <v>36</v>
      </c>
      <c r="J164" s="828">
        <f t="shared" si="5"/>
        <v>249</v>
      </c>
      <c r="K164" s="832"/>
      <c r="L164" s="828"/>
      <c r="M164" s="825"/>
      <c r="N164" s="828"/>
      <c r="O164" s="828"/>
      <c r="P164" s="833" t="s">
        <v>405</v>
      </c>
    </row>
    <row r="165" ht="118" spans="1:16">
      <c r="A165" s="825" t="s">
        <v>406</v>
      </c>
      <c r="B165" s="1006"/>
      <c r="C165" s="828">
        <v>0</v>
      </c>
      <c r="D165" s="828">
        <v>100</v>
      </c>
      <c r="E165" s="828">
        <v>100</v>
      </c>
      <c r="F165" s="828">
        <v>0</v>
      </c>
      <c r="G165" s="829">
        <v>230</v>
      </c>
      <c r="H165" s="830">
        <v>0</v>
      </c>
      <c r="I165" s="835">
        <v>18</v>
      </c>
      <c r="J165" s="828">
        <f t="shared" si="5"/>
        <v>248</v>
      </c>
      <c r="K165" s="828"/>
      <c r="L165" s="828"/>
      <c r="M165" s="828"/>
      <c r="N165" s="872"/>
      <c r="O165" s="873"/>
      <c r="P165" s="833" t="s">
        <v>407</v>
      </c>
    </row>
    <row r="166" ht="17" spans="1:16">
      <c r="A166" s="825" t="s">
        <v>408</v>
      </c>
      <c r="B166" s="1007"/>
      <c r="C166" s="828">
        <v>45</v>
      </c>
      <c r="D166" s="828">
        <v>85</v>
      </c>
      <c r="E166" s="828">
        <v>90</v>
      </c>
      <c r="F166" s="828">
        <v>15</v>
      </c>
      <c r="G166" s="829">
        <v>143</v>
      </c>
      <c r="H166" s="830">
        <v>61</v>
      </c>
      <c r="I166" s="835">
        <v>44</v>
      </c>
      <c r="J166" s="828">
        <f t="shared" si="5"/>
        <v>248</v>
      </c>
      <c r="K166" s="832"/>
      <c r="L166" s="828"/>
      <c r="M166" s="825"/>
      <c r="N166" s="828"/>
      <c r="O166" s="828"/>
      <c r="P166" s="833" t="s">
        <v>409</v>
      </c>
    </row>
    <row r="167" ht="68" spans="1:16">
      <c r="A167" s="825" t="s">
        <v>410</v>
      </c>
      <c r="B167" s="1008"/>
      <c r="C167" s="828">
        <v>0</v>
      </c>
      <c r="D167" s="828">
        <v>100</v>
      </c>
      <c r="E167" s="828">
        <v>100</v>
      </c>
      <c r="F167" s="828">
        <v>0</v>
      </c>
      <c r="G167" s="829">
        <v>230</v>
      </c>
      <c r="H167" s="830">
        <v>0</v>
      </c>
      <c r="I167" s="835">
        <v>18</v>
      </c>
      <c r="J167" s="828">
        <f t="shared" si="5"/>
        <v>248</v>
      </c>
      <c r="K167" s="832"/>
      <c r="L167" s="828"/>
      <c r="M167" s="825"/>
      <c r="N167" s="828"/>
      <c r="O167" s="828"/>
      <c r="P167" s="833" t="s">
        <v>411</v>
      </c>
    </row>
    <row r="168" ht="118" spans="1:16">
      <c r="A168" s="992" t="s">
        <v>412</v>
      </c>
      <c r="B168" s="1009"/>
      <c r="C168" s="828">
        <v>50</v>
      </c>
      <c r="D168" s="828">
        <v>95</v>
      </c>
      <c r="E168" s="828">
        <v>95</v>
      </c>
      <c r="F168" s="828">
        <v>0</v>
      </c>
      <c r="G168" s="829">
        <v>149</v>
      </c>
      <c r="H168" s="830">
        <v>48</v>
      </c>
      <c r="I168" s="835">
        <v>46</v>
      </c>
      <c r="J168" s="828">
        <f t="shared" si="5"/>
        <v>243</v>
      </c>
      <c r="K168" s="832"/>
      <c r="L168" s="828"/>
      <c r="M168" s="825"/>
      <c r="N168" s="828"/>
      <c r="O168" s="828"/>
      <c r="P168" s="833" t="s">
        <v>413</v>
      </c>
    </row>
    <row r="169" ht="51" spans="1:16">
      <c r="A169" s="825" t="s">
        <v>414</v>
      </c>
      <c r="B169" s="1010"/>
      <c r="C169" s="828">
        <v>40</v>
      </c>
      <c r="D169" s="828">
        <v>100</v>
      </c>
      <c r="E169" s="828">
        <v>100</v>
      </c>
      <c r="F169" s="828">
        <v>0</v>
      </c>
      <c r="G169" s="829">
        <v>167</v>
      </c>
      <c r="H169" s="830">
        <v>33</v>
      </c>
      <c r="I169" s="835">
        <v>38</v>
      </c>
      <c r="J169" s="828">
        <f t="shared" si="5"/>
        <v>238</v>
      </c>
      <c r="K169" s="832"/>
      <c r="L169" s="828"/>
      <c r="M169" s="825"/>
      <c r="N169" s="828"/>
      <c r="O169" s="828"/>
      <c r="P169" s="833" t="s">
        <v>415</v>
      </c>
    </row>
    <row r="170" ht="17" spans="1:16">
      <c r="A170" s="825" t="s">
        <v>416</v>
      </c>
      <c r="B170" s="1011"/>
      <c r="C170" s="828">
        <v>19</v>
      </c>
      <c r="D170" s="828">
        <v>99</v>
      </c>
      <c r="E170" s="828">
        <v>86</v>
      </c>
      <c r="F170" s="828">
        <v>11</v>
      </c>
      <c r="G170" s="829">
        <v>166</v>
      </c>
      <c r="H170" s="830">
        <v>27</v>
      </c>
      <c r="I170" s="835">
        <v>41</v>
      </c>
      <c r="J170" s="828">
        <f t="shared" si="5"/>
        <v>234</v>
      </c>
      <c r="K170" s="828"/>
      <c r="L170" s="836"/>
      <c r="M170" s="825"/>
      <c r="N170" s="828"/>
      <c r="O170" s="828"/>
      <c r="P170" s="833"/>
    </row>
    <row r="171" ht="68" spans="1:16">
      <c r="A171" s="825" t="s">
        <v>417</v>
      </c>
      <c r="B171" s="1012"/>
      <c r="C171" s="828">
        <v>35</v>
      </c>
      <c r="D171" s="828">
        <v>100</v>
      </c>
      <c r="E171" s="828">
        <v>100</v>
      </c>
      <c r="F171" s="828">
        <v>5</v>
      </c>
      <c r="G171" s="829">
        <v>171</v>
      </c>
      <c r="H171" s="830">
        <v>29</v>
      </c>
      <c r="I171" s="835">
        <v>34</v>
      </c>
      <c r="J171" s="828">
        <f t="shared" si="5"/>
        <v>234</v>
      </c>
      <c r="K171" s="832"/>
      <c r="L171" s="828"/>
      <c r="M171" s="825"/>
      <c r="N171" s="828"/>
      <c r="O171" s="828"/>
      <c r="P171" s="833" t="s">
        <v>418</v>
      </c>
    </row>
    <row r="172" ht="17" spans="1:16">
      <c r="A172" s="929" t="s">
        <v>419</v>
      </c>
      <c r="B172" s="1013"/>
      <c r="C172" s="828">
        <v>40</v>
      </c>
      <c r="D172" s="828">
        <v>95</v>
      </c>
      <c r="E172" s="828">
        <v>100</v>
      </c>
      <c r="F172" s="828">
        <v>10</v>
      </c>
      <c r="G172" s="829">
        <v>158</v>
      </c>
      <c r="H172" s="830">
        <v>42</v>
      </c>
      <c r="I172" s="835">
        <v>34</v>
      </c>
      <c r="J172" s="828">
        <f t="shared" ref="J172:J180" si="6">G172+H172+I172</f>
        <v>234</v>
      </c>
      <c r="K172" s="832"/>
      <c r="L172" s="828"/>
      <c r="M172" s="825"/>
      <c r="N172" s="828"/>
      <c r="O172" s="828"/>
      <c r="P172" s="833" t="s">
        <v>420</v>
      </c>
    </row>
    <row r="173" ht="17" spans="1:16">
      <c r="A173" s="825" t="s">
        <v>421</v>
      </c>
      <c r="B173" s="1014"/>
      <c r="C173" s="828">
        <v>17</v>
      </c>
      <c r="D173" s="828">
        <v>98</v>
      </c>
      <c r="E173" s="828">
        <v>100</v>
      </c>
      <c r="F173" s="828">
        <v>8</v>
      </c>
      <c r="G173" s="829">
        <v>172</v>
      </c>
      <c r="H173" s="830">
        <v>31</v>
      </c>
      <c r="I173" s="835">
        <v>24</v>
      </c>
      <c r="J173" s="828">
        <f t="shared" ref="J173:J179" si="7">G173+H173+I173</f>
        <v>227</v>
      </c>
      <c r="K173" s="828"/>
      <c r="L173" s="836"/>
      <c r="M173" s="825"/>
      <c r="N173" s="828"/>
      <c r="O173" s="828"/>
      <c r="P173" s="833"/>
    </row>
    <row r="174" ht="34" spans="1:16">
      <c r="A174" s="825" t="s">
        <v>422</v>
      </c>
      <c r="B174" s="1015"/>
      <c r="C174" s="828">
        <v>50</v>
      </c>
      <c r="D174" s="828">
        <v>90</v>
      </c>
      <c r="E174" s="828">
        <v>100</v>
      </c>
      <c r="F174" s="828">
        <v>15</v>
      </c>
      <c r="G174" s="829">
        <v>135</v>
      </c>
      <c r="H174" s="830">
        <v>52</v>
      </c>
      <c r="I174" s="835">
        <v>36</v>
      </c>
      <c r="J174" s="828">
        <f t="shared" si="7"/>
        <v>223</v>
      </c>
      <c r="K174" s="832"/>
      <c r="L174" s="828"/>
      <c r="M174" s="825"/>
      <c r="N174" s="828"/>
      <c r="O174" s="828"/>
      <c r="P174" s="833" t="s">
        <v>423</v>
      </c>
    </row>
    <row r="175" ht="17" spans="1:16">
      <c r="A175" s="825" t="s">
        <v>424</v>
      </c>
      <c r="B175" s="1016"/>
      <c r="C175" s="828">
        <v>45</v>
      </c>
      <c r="D175" s="828">
        <v>100</v>
      </c>
      <c r="E175" s="828">
        <v>100</v>
      </c>
      <c r="F175" s="828">
        <v>15</v>
      </c>
      <c r="G175" s="829">
        <v>143</v>
      </c>
      <c r="H175" s="830">
        <v>29</v>
      </c>
      <c r="I175" s="835">
        <v>34</v>
      </c>
      <c r="J175" s="828">
        <f t="shared" si="7"/>
        <v>206</v>
      </c>
      <c r="K175" s="832"/>
      <c r="L175" s="828"/>
      <c r="M175" s="825"/>
      <c r="N175" s="828"/>
      <c r="O175" s="828"/>
      <c r="P175" s="833" t="s">
        <v>425</v>
      </c>
    </row>
    <row r="176" ht="17" spans="1:16">
      <c r="A176" s="825" t="s">
        <v>426</v>
      </c>
      <c r="B176" s="1017"/>
      <c r="C176" s="828">
        <v>27</v>
      </c>
      <c r="D176" s="828">
        <v>98</v>
      </c>
      <c r="E176" s="828">
        <v>79</v>
      </c>
      <c r="F176" s="828">
        <v>30</v>
      </c>
      <c r="G176" s="829">
        <v>130</v>
      </c>
      <c r="H176" s="830">
        <v>32</v>
      </c>
      <c r="I176" s="835">
        <v>43</v>
      </c>
      <c r="J176" s="828">
        <f t="shared" si="7"/>
        <v>205</v>
      </c>
      <c r="K176" s="828"/>
      <c r="L176" s="836"/>
      <c r="M176" s="825"/>
      <c r="N176" s="828"/>
      <c r="O176" s="828"/>
      <c r="P176" s="833"/>
    </row>
    <row r="177" ht="34" spans="1:16">
      <c r="A177" s="825" t="s">
        <v>427</v>
      </c>
      <c r="B177" s="1018"/>
      <c r="C177" s="828">
        <v>55</v>
      </c>
      <c r="D177" s="828">
        <v>100</v>
      </c>
      <c r="E177" s="828">
        <v>100</v>
      </c>
      <c r="F177" s="828">
        <v>10</v>
      </c>
      <c r="G177" s="829">
        <v>130</v>
      </c>
      <c r="H177" s="830">
        <v>35</v>
      </c>
      <c r="I177" s="835">
        <v>39</v>
      </c>
      <c r="J177" s="828">
        <f t="shared" si="7"/>
        <v>204</v>
      </c>
      <c r="K177" s="832"/>
      <c r="L177" s="828"/>
      <c r="M177" s="825"/>
      <c r="N177" s="828"/>
      <c r="O177" s="828"/>
      <c r="P177" s="833" t="s">
        <v>428</v>
      </c>
    </row>
    <row r="178" ht="34" spans="1:16">
      <c r="A178" s="825" t="s">
        <v>429</v>
      </c>
      <c r="B178" s="1019"/>
      <c r="C178" s="828">
        <v>60</v>
      </c>
      <c r="D178" s="828">
        <v>90</v>
      </c>
      <c r="E178" s="828">
        <v>80</v>
      </c>
      <c r="F178" s="828">
        <v>30</v>
      </c>
      <c r="G178" s="829">
        <v>102</v>
      </c>
      <c r="H178" s="830">
        <v>43</v>
      </c>
      <c r="I178" s="835">
        <v>47</v>
      </c>
      <c r="J178" s="828">
        <f t="shared" si="7"/>
        <v>192</v>
      </c>
      <c r="K178" s="832" t="s">
        <v>430</v>
      </c>
      <c r="L178" s="828"/>
      <c r="M178" s="825"/>
      <c r="N178" s="828"/>
      <c r="O178" s="828"/>
      <c r="P178" s="833" t="s">
        <v>431</v>
      </c>
    </row>
    <row r="179" ht="17" spans="1:16">
      <c r="A179" s="825" t="s">
        <v>432</v>
      </c>
      <c r="B179" s="1020"/>
      <c r="C179" s="828">
        <v>28</v>
      </c>
      <c r="D179" s="828">
        <v>100</v>
      </c>
      <c r="E179" s="828">
        <v>86</v>
      </c>
      <c r="F179" s="828">
        <v>33</v>
      </c>
      <c r="G179" s="829">
        <v>124</v>
      </c>
      <c r="H179" s="830">
        <v>24</v>
      </c>
      <c r="I179" s="835">
        <v>35</v>
      </c>
      <c r="J179" s="828">
        <f t="shared" si="7"/>
        <v>183</v>
      </c>
      <c r="K179" s="828"/>
      <c r="L179" s="836"/>
      <c r="M179" s="832" t="s">
        <v>433</v>
      </c>
      <c r="N179" s="872"/>
      <c r="O179" s="828"/>
      <c r="P179" s="833" t="s">
        <v>434</v>
      </c>
    </row>
    <row r="180" ht="34" spans="1:16">
      <c r="A180" s="825" t="s">
        <v>435</v>
      </c>
      <c r="B180" s="1021"/>
      <c r="C180" s="828">
        <v>50</v>
      </c>
      <c r="D180" s="828">
        <v>100</v>
      </c>
      <c r="E180" s="828">
        <v>100</v>
      </c>
      <c r="F180" s="828">
        <v>25</v>
      </c>
      <c r="G180" s="829">
        <v>124</v>
      </c>
      <c r="H180" s="830">
        <v>25</v>
      </c>
      <c r="I180" s="835">
        <v>30</v>
      </c>
      <c r="J180" s="828">
        <f t="shared" si="6"/>
        <v>179</v>
      </c>
      <c r="K180" s="832" t="s">
        <v>430</v>
      </c>
      <c r="L180" s="828"/>
      <c r="M180" s="825"/>
      <c r="N180" s="828"/>
      <c r="O180" s="828"/>
      <c r="P180" s="833" t="s">
        <v>436</v>
      </c>
    </row>
    <row r="181" ht="17" spans="1:16">
      <c r="A181" s="825" t="s">
        <v>437</v>
      </c>
      <c r="B181" s="1022"/>
      <c r="C181" s="828">
        <v>27</v>
      </c>
      <c r="D181" s="828">
        <v>100</v>
      </c>
      <c r="E181" s="828">
        <v>90</v>
      </c>
      <c r="F181" s="828">
        <v>29</v>
      </c>
      <c r="G181" s="829">
        <v>130</v>
      </c>
      <c r="H181" s="830">
        <v>17</v>
      </c>
      <c r="I181" s="835">
        <v>31</v>
      </c>
      <c r="J181" s="828">
        <f t="shared" ref="J181:J186" si="8">G181+H181+I181</f>
        <v>178</v>
      </c>
      <c r="K181" s="828"/>
      <c r="L181" s="836"/>
      <c r="M181" s="832" t="s">
        <v>438</v>
      </c>
      <c r="N181" s="872"/>
      <c r="O181" s="828"/>
      <c r="P181" s="833" t="s">
        <v>439</v>
      </c>
    </row>
    <row r="182" ht="51" spans="1:16">
      <c r="A182" s="825" t="s">
        <v>440</v>
      </c>
      <c r="B182" s="1023"/>
      <c r="C182" s="828">
        <v>60</v>
      </c>
      <c r="D182" s="828">
        <v>90</v>
      </c>
      <c r="E182" s="828">
        <v>100</v>
      </c>
      <c r="F182" s="828">
        <v>30</v>
      </c>
      <c r="G182" s="829">
        <v>102</v>
      </c>
      <c r="H182" s="830">
        <v>43</v>
      </c>
      <c r="I182" s="835">
        <v>31</v>
      </c>
      <c r="J182" s="828">
        <f t="shared" si="8"/>
        <v>176</v>
      </c>
      <c r="K182" s="832"/>
      <c r="L182" s="828"/>
      <c r="M182" s="825"/>
      <c r="N182" s="828"/>
      <c r="O182" s="828"/>
      <c r="P182" s="833" t="s">
        <v>441</v>
      </c>
    </row>
    <row r="183" ht="135" spans="1:16">
      <c r="A183" s="825" t="s">
        <v>442</v>
      </c>
      <c r="B183" s="1024"/>
      <c r="C183" s="828">
        <v>37</v>
      </c>
      <c r="D183" s="828">
        <v>82</v>
      </c>
      <c r="E183" s="828">
        <v>84</v>
      </c>
      <c r="F183" s="828">
        <v>51</v>
      </c>
      <c r="G183" s="829">
        <v>98</v>
      </c>
      <c r="H183" s="830">
        <v>42</v>
      </c>
      <c r="I183" s="835">
        <v>29</v>
      </c>
      <c r="J183" s="828">
        <f t="shared" si="8"/>
        <v>169</v>
      </c>
      <c r="K183" s="828"/>
      <c r="L183" s="828"/>
      <c r="M183" s="832"/>
      <c r="N183" s="872"/>
      <c r="O183" s="873" t="s">
        <v>443</v>
      </c>
      <c r="P183" s="833" t="s">
        <v>444</v>
      </c>
    </row>
    <row r="184" ht="17" spans="1:16">
      <c r="A184" s="825" t="s">
        <v>445</v>
      </c>
      <c r="B184" s="1025"/>
      <c r="C184" s="828">
        <v>33</v>
      </c>
      <c r="D184" s="828">
        <v>100</v>
      </c>
      <c r="E184" s="828">
        <v>58</v>
      </c>
      <c r="F184" s="828">
        <v>60</v>
      </c>
      <c r="G184" s="829">
        <v>98</v>
      </c>
      <c r="H184" s="830">
        <v>16</v>
      </c>
      <c r="I184" s="835">
        <v>46</v>
      </c>
      <c r="J184" s="828">
        <f t="shared" si="8"/>
        <v>160</v>
      </c>
      <c r="K184" s="828"/>
      <c r="L184" s="836"/>
      <c r="M184" s="825"/>
      <c r="N184" s="828"/>
      <c r="O184" s="828"/>
      <c r="P184" s="833"/>
    </row>
    <row r="185" ht="84" spans="1:16">
      <c r="A185" s="825" t="s">
        <v>446</v>
      </c>
      <c r="B185" s="1026"/>
      <c r="C185" s="828">
        <v>55</v>
      </c>
      <c r="D185" s="828">
        <v>100</v>
      </c>
      <c r="E185" s="828">
        <v>100</v>
      </c>
      <c r="F185" s="828">
        <v>40</v>
      </c>
      <c r="G185" s="829">
        <v>99</v>
      </c>
      <c r="H185" s="830">
        <v>18</v>
      </c>
      <c r="I185" s="835">
        <v>22</v>
      </c>
      <c r="J185" s="828">
        <f t="shared" si="8"/>
        <v>139</v>
      </c>
      <c r="K185" s="832"/>
      <c r="L185" s="828"/>
      <c r="M185" s="825"/>
      <c r="N185" s="828"/>
      <c r="O185" s="828"/>
      <c r="P185" s="833" t="s">
        <v>447</v>
      </c>
    </row>
    <row r="186" ht="34" spans="1:16">
      <c r="A186" s="825" t="s">
        <v>448</v>
      </c>
      <c r="B186" s="1027"/>
      <c r="C186" s="828">
        <v>70</v>
      </c>
      <c r="D186" s="828">
        <v>95</v>
      </c>
      <c r="E186" s="828">
        <v>100</v>
      </c>
      <c r="F186" s="828">
        <v>40</v>
      </c>
      <c r="G186" s="829">
        <v>76</v>
      </c>
      <c r="H186" s="830">
        <v>30</v>
      </c>
      <c r="I186" s="835">
        <v>26</v>
      </c>
      <c r="J186" s="828">
        <f t="shared" si="8"/>
        <v>132</v>
      </c>
      <c r="K186" s="832"/>
      <c r="L186" s="828"/>
      <c r="M186" s="825"/>
      <c r="N186" s="828"/>
      <c r="O186" s="828"/>
      <c r="P186" s="833" t="s">
        <v>449</v>
      </c>
    </row>
  </sheetData>
  <mergeCells count="2">
    <mergeCell ref="C1:F1"/>
    <mergeCell ref="G1:I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P94"/>
  <sheetViews>
    <sheetView zoomScale="70" zoomScaleNormal="70" workbookViewId="0">
      <pane xSplit="2" ySplit="1" topLeftCell="C2" activePane="bottomRight" state="frozen"/>
      <selection/>
      <selection pane="topRight"/>
      <selection pane="bottomLeft"/>
      <selection pane="bottomRight" activeCell="A2" sqref="A2"/>
    </sheetView>
  </sheetViews>
  <sheetFormatPr defaultColWidth="9" defaultRowHeight="16.8"/>
  <cols>
    <col min="1" max="1" width="10.1071428571429" style="350" customWidth="1"/>
    <col min="2" max="2" width="8.88392857142857" style="351"/>
    <col min="3" max="3" width="4.22321428571429" style="351" customWidth="1"/>
    <col min="4" max="4" width="5.77678571428571" style="351" customWidth="1"/>
    <col min="5" max="5" width="5" style="351" customWidth="1"/>
    <col min="6" max="6" width="4.66071428571429" style="351" customWidth="1"/>
    <col min="7" max="7" width="5.33035714285714" style="352" customWidth="1"/>
    <col min="8" max="8" width="4.22321428571429" style="353" customWidth="1"/>
    <col min="9" max="9" width="4.22321428571429" style="354" customWidth="1"/>
    <col min="10" max="10" width="6.22321428571429" style="351" customWidth="1"/>
    <col min="11" max="11" width="14" style="351" customWidth="1"/>
    <col min="12" max="12" width="14.7767857142857" style="351" customWidth="1"/>
    <col min="13" max="13" width="12.7767857142857" style="351" customWidth="1"/>
    <col min="14" max="14" width="14" style="351" customWidth="1"/>
    <col min="15" max="15" width="12.6607142857143" style="351" customWidth="1"/>
    <col min="16" max="16" width="189" style="355" customWidth="1"/>
    <col min="17" max="16384" width="8.88392857142857" style="351"/>
  </cols>
  <sheetData>
    <row r="1" s="350" customFormat="1" ht="51" spans="1:16">
      <c r="A1" s="1" t="s">
        <v>0</v>
      </c>
      <c r="B1" s="1" t="s">
        <v>1</v>
      </c>
      <c r="C1" s="1" t="s">
        <v>2</v>
      </c>
      <c r="D1" s="1"/>
      <c r="E1" s="1"/>
      <c r="F1" s="1"/>
      <c r="G1" s="1" t="s">
        <v>3</v>
      </c>
      <c r="H1" s="1"/>
      <c r="I1" s="1"/>
      <c r="J1" s="1"/>
      <c r="K1" s="1" t="s">
        <v>4</v>
      </c>
      <c r="L1" s="1" t="s">
        <v>5</v>
      </c>
      <c r="M1" s="1" t="s">
        <v>6</v>
      </c>
      <c r="N1" s="1" t="s">
        <v>7</v>
      </c>
      <c r="O1" s="1" t="s">
        <v>8</v>
      </c>
      <c r="P1" s="10" t="s">
        <v>9</v>
      </c>
    </row>
    <row r="2" ht="17" spans="1:16">
      <c r="A2" s="1" t="s">
        <v>0</v>
      </c>
      <c r="B2" s="2"/>
      <c r="C2" s="2" t="s">
        <v>10</v>
      </c>
      <c r="D2" s="2" t="s">
        <v>11</v>
      </c>
      <c r="E2" s="2" t="s">
        <v>161</v>
      </c>
      <c r="F2" s="2" t="s">
        <v>13</v>
      </c>
      <c r="G2" s="3" t="s">
        <v>14</v>
      </c>
      <c r="H2" s="4" t="s">
        <v>15</v>
      </c>
      <c r="I2" s="5" t="s">
        <v>16</v>
      </c>
      <c r="J2" s="2" t="s">
        <v>17</v>
      </c>
      <c r="K2" s="12"/>
      <c r="L2" s="2"/>
      <c r="M2" s="2"/>
      <c r="N2" s="2"/>
      <c r="O2" s="2"/>
      <c r="P2" s="10"/>
    </row>
    <row r="3" ht="17" spans="1:16">
      <c r="A3" s="1" t="s">
        <v>450</v>
      </c>
      <c r="B3" s="731"/>
      <c r="C3" s="2">
        <v>1</v>
      </c>
      <c r="D3" s="2">
        <v>7</v>
      </c>
      <c r="E3" s="2">
        <v>13</v>
      </c>
      <c r="F3" s="2">
        <v>0</v>
      </c>
      <c r="G3" s="3">
        <v>251</v>
      </c>
      <c r="H3" s="4">
        <v>242</v>
      </c>
      <c r="I3" s="5">
        <v>227</v>
      </c>
      <c r="J3" s="2">
        <f t="shared" ref="J3:J12" si="0">G3+H3+I3</f>
        <v>720</v>
      </c>
      <c r="K3" s="2"/>
      <c r="L3" s="17"/>
      <c r="M3" s="2"/>
      <c r="N3" s="14"/>
      <c r="O3" s="2"/>
      <c r="P3" s="10" t="s">
        <v>451</v>
      </c>
    </row>
    <row r="4" ht="17" spans="1:16">
      <c r="A4" s="1" t="s">
        <v>452</v>
      </c>
      <c r="B4" s="732"/>
      <c r="C4" s="2">
        <v>0</v>
      </c>
      <c r="D4" s="2">
        <v>9</v>
      </c>
      <c r="E4" s="2">
        <v>12</v>
      </c>
      <c r="F4" s="2">
        <v>0</v>
      </c>
      <c r="G4" s="3">
        <v>251</v>
      </c>
      <c r="H4" s="4">
        <v>238</v>
      </c>
      <c r="I4" s="5">
        <v>226</v>
      </c>
      <c r="J4" s="2">
        <f t="shared" si="0"/>
        <v>715</v>
      </c>
      <c r="K4" s="2"/>
      <c r="L4" s="17"/>
      <c r="M4" s="2"/>
      <c r="N4" s="2"/>
      <c r="O4" s="2"/>
      <c r="P4" s="10"/>
    </row>
    <row r="5" ht="34" spans="1:16">
      <c r="A5" s="1" t="s">
        <v>453</v>
      </c>
      <c r="B5" s="733"/>
      <c r="C5" s="2">
        <v>0</v>
      </c>
      <c r="D5" s="2">
        <v>10</v>
      </c>
      <c r="E5" s="2">
        <v>14</v>
      </c>
      <c r="F5" s="2">
        <v>0</v>
      </c>
      <c r="G5" s="3">
        <v>251</v>
      </c>
      <c r="H5" s="4">
        <v>236</v>
      </c>
      <c r="I5" s="5">
        <v>222</v>
      </c>
      <c r="J5" s="2">
        <f t="shared" si="0"/>
        <v>709</v>
      </c>
      <c r="K5" s="2"/>
      <c r="L5" s="17"/>
      <c r="M5" s="2"/>
      <c r="N5" s="14"/>
      <c r="O5" s="2"/>
      <c r="P5" s="10" t="s">
        <v>454</v>
      </c>
    </row>
    <row r="6" ht="17" spans="1:16">
      <c r="A6" s="1" t="s">
        <v>455</v>
      </c>
      <c r="B6" s="734"/>
      <c r="C6" s="2">
        <v>1</v>
      </c>
      <c r="D6" s="2">
        <v>12</v>
      </c>
      <c r="E6" s="2">
        <v>22</v>
      </c>
      <c r="F6" s="2">
        <v>0</v>
      </c>
      <c r="G6" s="3">
        <v>249</v>
      </c>
      <c r="H6" s="4">
        <v>232</v>
      </c>
      <c r="I6" s="5">
        <v>208</v>
      </c>
      <c r="J6" s="2">
        <f t="shared" si="0"/>
        <v>689</v>
      </c>
      <c r="K6" s="2"/>
      <c r="L6" s="17"/>
      <c r="M6" s="2"/>
      <c r="N6" s="2"/>
      <c r="O6" s="2"/>
      <c r="P6" s="10"/>
    </row>
    <row r="7" ht="17" spans="1:16">
      <c r="A7" s="1" t="s">
        <v>456</v>
      </c>
      <c r="B7" s="735"/>
      <c r="C7" s="2">
        <v>1</v>
      </c>
      <c r="D7" s="2">
        <v>11</v>
      </c>
      <c r="E7" s="2">
        <v>24</v>
      </c>
      <c r="F7" s="2">
        <v>0</v>
      </c>
      <c r="G7" s="3">
        <v>249</v>
      </c>
      <c r="H7" s="4">
        <v>223</v>
      </c>
      <c r="I7" s="5">
        <v>205</v>
      </c>
      <c r="J7" s="2">
        <f t="shared" si="0"/>
        <v>677</v>
      </c>
      <c r="K7" s="2"/>
      <c r="L7" s="17"/>
      <c r="M7" s="2"/>
      <c r="N7" s="2"/>
      <c r="O7" s="2"/>
      <c r="P7" s="10"/>
    </row>
    <row r="8" ht="17" spans="1:16">
      <c r="A8" s="1" t="s">
        <v>457</v>
      </c>
      <c r="B8" s="736"/>
      <c r="C8" s="2">
        <v>0</v>
      </c>
      <c r="D8" s="2">
        <v>19</v>
      </c>
      <c r="E8" s="2">
        <v>19</v>
      </c>
      <c r="F8" s="2">
        <v>0</v>
      </c>
      <c r="G8" s="3">
        <v>246</v>
      </c>
      <c r="H8" s="4">
        <v>220</v>
      </c>
      <c r="I8" s="5">
        <v>206</v>
      </c>
      <c r="J8" s="2">
        <f t="shared" si="0"/>
        <v>672</v>
      </c>
      <c r="K8" s="2"/>
      <c r="L8" s="17"/>
      <c r="M8" s="2"/>
      <c r="N8" s="2"/>
      <c r="O8" s="2"/>
      <c r="P8" s="10"/>
    </row>
    <row r="9" ht="34" spans="1:16">
      <c r="A9" s="1" t="s">
        <v>458</v>
      </c>
      <c r="B9" s="737"/>
      <c r="C9" s="2">
        <v>0</v>
      </c>
      <c r="D9" s="2">
        <v>27</v>
      </c>
      <c r="E9" s="2">
        <v>27</v>
      </c>
      <c r="F9" s="2">
        <v>0</v>
      </c>
      <c r="G9" s="3">
        <v>247</v>
      </c>
      <c r="H9" s="4">
        <v>207</v>
      </c>
      <c r="I9" s="5">
        <v>186</v>
      </c>
      <c r="J9" s="2">
        <f t="shared" si="0"/>
        <v>640</v>
      </c>
      <c r="K9" s="2"/>
      <c r="L9" s="17"/>
      <c r="M9" s="2"/>
      <c r="N9" s="2"/>
      <c r="O9" s="2"/>
      <c r="P9" s="10"/>
    </row>
    <row r="10" ht="17" spans="1:16">
      <c r="A10" s="1" t="s">
        <v>459</v>
      </c>
      <c r="B10" s="738"/>
      <c r="C10" s="2">
        <v>0</v>
      </c>
      <c r="D10" s="2">
        <v>28</v>
      </c>
      <c r="E10" s="2">
        <v>25</v>
      </c>
      <c r="F10" s="2">
        <v>0</v>
      </c>
      <c r="G10" s="3">
        <v>247</v>
      </c>
      <c r="H10" s="4">
        <v>205</v>
      </c>
      <c r="I10" s="5">
        <v>188</v>
      </c>
      <c r="J10" s="2">
        <f t="shared" si="0"/>
        <v>640</v>
      </c>
      <c r="K10" s="2"/>
      <c r="L10" s="17"/>
      <c r="M10" s="2"/>
      <c r="N10" s="2"/>
      <c r="O10" s="2"/>
      <c r="P10" s="10"/>
    </row>
    <row r="11" ht="34" spans="1:16">
      <c r="A11" s="1" t="s">
        <v>460</v>
      </c>
      <c r="B11" s="739"/>
      <c r="C11" s="2">
        <v>0</v>
      </c>
      <c r="D11" s="2">
        <v>30</v>
      </c>
      <c r="E11" s="2">
        <v>25</v>
      </c>
      <c r="F11" s="2">
        <v>0</v>
      </c>
      <c r="G11" s="3">
        <v>248</v>
      </c>
      <c r="H11" s="4">
        <v>198</v>
      </c>
      <c r="I11" s="5">
        <v>181</v>
      </c>
      <c r="J11" s="2">
        <f t="shared" si="0"/>
        <v>627</v>
      </c>
      <c r="K11" s="12"/>
      <c r="L11" s="2"/>
      <c r="M11" s="2"/>
      <c r="N11" s="2"/>
      <c r="O11" s="2"/>
      <c r="P11" s="10" t="s">
        <v>461</v>
      </c>
    </row>
    <row r="12" ht="84" spans="1:16">
      <c r="A12" s="1" t="s">
        <v>462</v>
      </c>
      <c r="B12" s="740"/>
      <c r="C12" s="2">
        <v>2</v>
      </c>
      <c r="D12" s="2">
        <v>31</v>
      </c>
      <c r="E12" s="2">
        <v>31</v>
      </c>
      <c r="F12" s="2">
        <v>0</v>
      </c>
      <c r="G12" s="3">
        <v>237</v>
      </c>
      <c r="H12" s="4">
        <v>195</v>
      </c>
      <c r="I12" s="5">
        <v>174</v>
      </c>
      <c r="J12" s="2">
        <f t="shared" si="0"/>
        <v>606</v>
      </c>
      <c r="K12" s="2"/>
      <c r="L12" s="17"/>
      <c r="M12" s="19">
        <v>228198208</v>
      </c>
      <c r="N12" s="2"/>
      <c r="O12" s="28">
        <v>250213189</v>
      </c>
      <c r="P12" s="10" t="s">
        <v>463</v>
      </c>
    </row>
    <row r="13" ht="17" spans="1:16">
      <c r="A13" s="1" t="s">
        <v>464</v>
      </c>
      <c r="B13" s="741"/>
      <c r="C13" s="2">
        <v>5</v>
      </c>
      <c r="D13" s="2">
        <v>30</v>
      </c>
      <c r="E13" s="2">
        <v>35</v>
      </c>
      <c r="F13" s="2">
        <v>0</v>
      </c>
      <c r="G13" s="3">
        <v>240</v>
      </c>
      <c r="H13" s="4">
        <v>194</v>
      </c>
      <c r="I13" s="5">
        <v>162</v>
      </c>
      <c r="J13" s="2">
        <f t="shared" ref="J13:J94" si="1">G13+H13+I13</f>
        <v>596</v>
      </c>
      <c r="K13" s="12"/>
      <c r="L13" s="2"/>
      <c r="M13" s="2"/>
      <c r="N13" s="2"/>
      <c r="O13" s="2"/>
      <c r="P13" s="10" t="s">
        <v>465</v>
      </c>
    </row>
    <row r="14" ht="17" spans="1:16">
      <c r="A14" s="1" t="s">
        <v>466</v>
      </c>
      <c r="B14" s="742"/>
      <c r="C14" s="2">
        <v>0</v>
      </c>
      <c r="D14" s="2">
        <v>27</v>
      </c>
      <c r="E14" s="2">
        <v>51</v>
      </c>
      <c r="F14" s="2">
        <v>0</v>
      </c>
      <c r="G14" s="3">
        <v>249</v>
      </c>
      <c r="H14" s="4">
        <v>203</v>
      </c>
      <c r="I14" s="5">
        <v>139</v>
      </c>
      <c r="J14" s="2">
        <f t="shared" si="1"/>
        <v>591</v>
      </c>
      <c r="K14" s="2"/>
      <c r="L14" s="17"/>
      <c r="M14" s="2"/>
      <c r="N14" s="2"/>
      <c r="O14" s="2"/>
      <c r="P14" s="10"/>
    </row>
    <row r="15" ht="17" spans="1:16">
      <c r="A15" s="1" t="s">
        <v>467</v>
      </c>
      <c r="B15" s="743"/>
      <c r="C15" s="2">
        <v>0</v>
      </c>
      <c r="D15" s="2">
        <v>32</v>
      </c>
      <c r="E15" s="2">
        <v>52</v>
      </c>
      <c r="F15" s="2">
        <v>0</v>
      </c>
      <c r="G15" s="3">
        <v>248</v>
      </c>
      <c r="H15" s="4">
        <v>195</v>
      </c>
      <c r="I15" s="5">
        <v>135</v>
      </c>
      <c r="J15" s="2">
        <f t="shared" si="1"/>
        <v>578</v>
      </c>
      <c r="K15" s="2"/>
      <c r="L15" s="17"/>
      <c r="M15" s="2"/>
      <c r="N15" s="2"/>
      <c r="O15" s="2"/>
      <c r="P15" s="10"/>
    </row>
    <row r="16" ht="17" spans="1:16">
      <c r="A16" s="1" t="s">
        <v>468</v>
      </c>
      <c r="B16" s="744"/>
      <c r="C16" s="2">
        <v>0</v>
      </c>
      <c r="D16" s="2">
        <v>43</v>
      </c>
      <c r="E16" s="2">
        <v>43</v>
      </c>
      <c r="F16" s="2">
        <v>0</v>
      </c>
      <c r="G16" s="3">
        <v>246</v>
      </c>
      <c r="H16" s="4">
        <v>173</v>
      </c>
      <c r="I16" s="5">
        <v>143</v>
      </c>
      <c r="J16" s="2">
        <f t="shared" si="1"/>
        <v>562</v>
      </c>
      <c r="K16" s="2"/>
      <c r="L16" s="17"/>
      <c r="M16" s="2"/>
      <c r="N16" s="2"/>
      <c r="O16" s="2"/>
      <c r="P16" s="10"/>
    </row>
    <row r="17" ht="68" spans="1:16">
      <c r="A17" s="1" t="s">
        <v>469</v>
      </c>
      <c r="B17" s="745"/>
      <c r="C17" s="2">
        <v>0</v>
      </c>
      <c r="D17" s="2">
        <v>45</v>
      </c>
      <c r="E17" s="2">
        <v>35</v>
      </c>
      <c r="F17" s="2">
        <v>0</v>
      </c>
      <c r="G17" s="3">
        <v>243</v>
      </c>
      <c r="H17" s="4">
        <v>166</v>
      </c>
      <c r="I17" s="5">
        <v>148</v>
      </c>
      <c r="J17" s="2">
        <f t="shared" si="1"/>
        <v>557</v>
      </c>
      <c r="K17" s="12" t="s">
        <v>60</v>
      </c>
      <c r="L17" s="2"/>
      <c r="M17" s="2"/>
      <c r="N17" s="2"/>
      <c r="O17" s="2"/>
      <c r="P17" s="10" t="s">
        <v>470</v>
      </c>
    </row>
    <row r="18" ht="34" spans="1:16">
      <c r="A18" s="1" t="s">
        <v>471</v>
      </c>
      <c r="B18" s="746"/>
      <c r="C18" s="2">
        <v>0</v>
      </c>
      <c r="D18" s="2">
        <v>40</v>
      </c>
      <c r="E18" s="2">
        <v>45</v>
      </c>
      <c r="F18" s="2">
        <v>0</v>
      </c>
      <c r="G18" s="3">
        <v>245</v>
      </c>
      <c r="H18" s="4">
        <v>176</v>
      </c>
      <c r="I18" s="5">
        <v>135</v>
      </c>
      <c r="J18" s="2">
        <f t="shared" si="1"/>
        <v>556</v>
      </c>
      <c r="K18" s="12" t="s">
        <v>60</v>
      </c>
      <c r="L18" s="2"/>
      <c r="M18" s="2"/>
      <c r="N18" s="2"/>
      <c r="O18" s="2"/>
      <c r="P18" s="10" t="s">
        <v>472</v>
      </c>
    </row>
    <row r="19" ht="17" spans="1:16">
      <c r="A19" s="1" t="s">
        <v>473</v>
      </c>
      <c r="B19" s="747"/>
      <c r="C19" s="2">
        <v>0</v>
      </c>
      <c r="D19" s="2">
        <v>32</v>
      </c>
      <c r="E19" s="2">
        <v>52</v>
      </c>
      <c r="F19" s="2">
        <v>0</v>
      </c>
      <c r="G19" s="3">
        <v>247</v>
      </c>
      <c r="H19" s="4">
        <v>193</v>
      </c>
      <c r="I19" s="5">
        <v>115</v>
      </c>
      <c r="J19" s="2">
        <f t="shared" si="1"/>
        <v>555</v>
      </c>
      <c r="K19" s="2"/>
      <c r="L19" s="17"/>
      <c r="M19" s="2"/>
      <c r="N19" s="2"/>
      <c r="O19" s="2"/>
      <c r="P19" s="10"/>
    </row>
    <row r="20" ht="17" spans="1:16">
      <c r="A20" s="1" t="s">
        <v>474</v>
      </c>
      <c r="B20" s="748"/>
      <c r="C20" s="2">
        <v>0</v>
      </c>
      <c r="D20" s="2">
        <v>40</v>
      </c>
      <c r="E20" s="2">
        <v>52</v>
      </c>
      <c r="F20" s="2">
        <v>0</v>
      </c>
      <c r="G20" s="3">
        <v>248</v>
      </c>
      <c r="H20" s="4">
        <v>179</v>
      </c>
      <c r="I20" s="5">
        <v>127</v>
      </c>
      <c r="J20" s="2">
        <f t="shared" si="1"/>
        <v>554</v>
      </c>
      <c r="K20" s="2"/>
      <c r="L20" s="17"/>
      <c r="M20" s="2"/>
      <c r="N20" s="2"/>
      <c r="O20" s="2"/>
      <c r="P20" s="10"/>
    </row>
    <row r="21" ht="17" spans="1:16">
      <c r="A21" s="1" t="s">
        <v>475</v>
      </c>
      <c r="B21" s="749"/>
      <c r="C21" s="2">
        <v>0</v>
      </c>
      <c r="D21" s="2">
        <v>36</v>
      </c>
      <c r="E21" s="2">
        <v>72</v>
      </c>
      <c r="F21" s="2">
        <v>0</v>
      </c>
      <c r="G21" s="3">
        <v>251</v>
      </c>
      <c r="H21" s="4">
        <v>185</v>
      </c>
      <c r="I21" s="5">
        <v>87</v>
      </c>
      <c r="J21" s="2">
        <f t="shared" si="1"/>
        <v>523</v>
      </c>
      <c r="K21" s="2"/>
      <c r="L21" s="17"/>
      <c r="M21" s="2"/>
      <c r="N21" s="2"/>
      <c r="O21" s="2"/>
      <c r="P21" s="10"/>
    </row>
    <row r="22" ht="34" spans="1:16">
      <c r="A22" s="1" t="s">
        <v>476</v>
      </c>
      <c r="B22" s="750"/>
      <c r="C22" s="2">
        <v>15</v>
      </c>
      <c r="D22" s="2">
        <v>35</v>
      </c>
      <c r="E22" s="2">
        <v>55</v>
      </c>
      <c r="F22" s="2">
        <v>0</v>
      </c>
      <c r="G22" s="3">
        <v>221</v>
      </c>
      <c r="H22" s="4">
        <v>176</v>
      </c>
      <c r="I22" s="5">
        <v>120</v>
      </c>
      <c r="J22" s="2">
        <f t="shared" si="1"/>
        <v>517</v>
      </c>
      <c r="K22" s="12"/>
      <c r="L22" s="2"/>
      <c r="M22" s="2"/>
      <c r="N22" s="2"/>
      <c r="O22" s="2"/>
      <c r="P22" s="10" t="s">
        <v>477</v>
      </c>
    </row>
    <row r="23" ht="17" spans="1:16">
      <c r="A23" s="1" t="s">
        <v>478</v>
      </c>
      <c r="B23" s="751"/>
      <c r="C23" s="2">
        <v>15</v>
      </c>
      <c r="D23" s="2">
        <v>45</v>
      </c>
      <c r="E23" s="2">
        <v>40</v>
      </c>
      <c r="F23" s="2">
        <v>0</v>
      </c>
      <c r="G23" s="3">
        <v>218</v>
      </c>
      <c r="H23" s="4">
        <v>158</v>
      </c>
      <c r="I23" s="5">
        <v>140</v>
      </c>
      <c r="J23" s="2">
        <f t="shared" si="1"/>
        <v>516</v>
      </c>
      <c r="K23" s="12"/>
      <c r="L23" s="2"/>
      <c r="M23" s="2"/>
      <c r="N23" s="2"/>
      <c r="O23" s="2"/>
      <c r="P23" s="10" t="s">
        <v>479</v>
      </c>
    </row>
    <row r="24" ht="17" spans="1:16">
      <c r="A24" s="1" t="s">
        <v>480</v>
      </c>
      <c r="B24" s="752"/>
      <c r="C24" s="2">
        <v>0</v>
      </c>
      <c r="D24" s="2">
        <v>50</v>
      </c>
      <c r="E24" s="2">
        <v>50</v>
      </c>
      <c r="F24" s="2">
        <v>0</v>
      </c>
      <c r="G24" s="3">
        <v>242</v>
      </c>
      <c r="H24" s="4">
        <v>154</v>
      </c>
      <c r="I24" s="5">
        <v>118</v>
      </c>
      <c r="J24" s="2">
        <f t="shared" si="1"/>
        <v>514</v>
      </c>
      <c r="K24" s="12" t="s">
        <v>60</v>
      </c>
      <c r="L24" s="2"/>
      <c r="M24" s="19">
        <v>249144111</v>
      </c>
      <c r="N24" s="2"/>
      <c r="O24" s="2"/>
      <c r="P24" s="10" t="s">
        <v>481</v>
      </c>
    </row>
    <row r="25" ht="17" spans="1:16">
      <c r="A25" s="1" t="s">
        <v>482</v>
      </c>
      <c r="B25" s="753"/>
      <c r="C25" s="2">
        <v>0</v>
      </c>
      <c r="D25" s="2">
        <v>53</v>
      </c>
      <c r="E25" s="2">
        <v>59</v>
      </c>
      <c r="F25" s="2">
        <v>0</v>
      </c>
      <c r="G25" s="3">
        <v>251</v>
      </c>
      <c r="H25" s="4">
        <v>153</v>
      </c>
      <c r="I25" s="5">
        <v>104</v>
      </c>
      <c r="J25" s="2">
        <f t="shared" si="1"/>
        <v>508</v>
      </c>
      <c r="K25" s="2"/>
      <c r="L25" s="17"/>
      <c r="M25" s="2"/>
      <c r="N25" s="2"/>
      <c r="O25" s="2"/>
      <c r="P25" s="10"/>
    </row>
    <row r="26" ht="17" spans="1:16">
      <c r="A26" s="1" t="s">
        <v>483</v>
      </c>
      <c r="B26" s="754"/>
      <c r="C26" s="2">
        <v>0</v>
      </c>
      <c r="D26" s="2">
        <v>50</v>
      </c>
      <c r="E26" s="2">
        <v>68</v>
      </c>
      <c r="F26" s="2">
        <v>0</v>
      </c>
      <c r="G26" s="3">
        <v>240</v>
      </c>
      <c r="H26" s="4">
        <v>156</v>
      </c>
      <c r="I26" s="5">
        <v>90</v>
      </c>
      <c r="J26" s="2">
        <f t="shared" si="1"/>
        <v>486</v>
      </c>
      <c r="K26" s="2"/>
      <c r="L26" s="17"/>
      <c r="M26" s="2"/>
      <c r="N26" s="2"/>
      <c r="O26" s="2"/>
      <c r="P26" s="10"/>
    </row>
    <row r="27" ht="17" spans="1:16">
      <c r="A27" s="1" t="s">
        <v>484</v>
      </c>
      <c r="B27" s="755"/>
      <c r="C27" s="2">
        <v>0</v>
      </c>
      <c r="D27" s="2">
        <v>58</v>
      </c>
      <c r="E27" s="2">
        <v>61</v>
      </c>
      <c r="F27" s="2">
        <v>0</v>
      </c>
      <c r="G27" s="3">
        <v>246</v>
      </c>
      <c r="H27" s="4">
        <v>140</v>
      </c>
      <c r="I27" s="5">
        <v>96</v>
      </c>
      <c r="J27" s="2">
        <f t="shared" si="1"/>
        <v>482</v>
      </c>
      <c r="K27" s="2"/>
      <c r="L27" s="17"/>
      <c r="M27" s="2"/>
      <c r="N27" s="2"/>
      <c r="O27" s="2"/>
      <c r="P27" s="10"/>
    </row>
    <row r="28" ht="17" spans="1:16">
      <c r="A28" s="1" t="s">
        <v>485</v>
      </c>
      <c r="B28" s="756"/>
      <c r="C28" s="2">
        <v>0</v>
      </c>
      <c r="D28" s="2">
        <v>53</v>
      </c>
      <c r="E28" s="2">
        <v>65</v>
      </c>
      <c r="F28" s="2">
        <v>0</v>
      </c>
      <c r="G28" s="3">
        <v>240</v>
      </c>
      <c r="H28" s="4">
        <v>148</v>
      </c>
      <c r="I28" s="5">
        <v>93</v>
      </c>
      <c r="J28" s="2">
        <f t="shared" si="1"/>
        <v>481</v>
      </c>
      <c r="K28" s="2"/>
      <c r="L28" s="17"/>
      <c r="M28" s="2"/>
      <c r="N28" s="2"/>
      <c r="O28" s="2"/>
      <c r="P28" s="10"/>
    </row>
    <row r="29" ht="17" spans="1:16">
      <c r="A29" s="1" t="s">
        <v>486</v>
      </c>
      <c r="B29" s="757"/>
      <c r="C29" s="2">
        <v>0</v>
      </c>
      <c r="D29" s="2">
        <v>55</v>
      </c>
      <c r="E29" s="2">
        <v>60</v>
      </c>
      <c r="F29" s="2">
        <v>0</v>
      </c>
      <c r="G29" s="3">
        <v>241</v>
      </c>
      <c r="H29" s="4">
        <v>143</v>
      </c>
      <c r="I29" s="5">
        <v>96</v>
      </c>
      <c r="J29" s="2">
        <f t="shared" si="1"/>
        <v>480</v>
      </c>
      <c r="K29" s="12"/>
      <c r="L29" s="2"/>
      <c r="M29" s="2"/>
      <c r="N29" s="2"/>
      <c r="O29" s="2"/>
      <c r="P29" s="10" t="s">
        <v>487</v>
      </c>
    </row>
    <row r="30" ht="17" spans="1:16">
      <c r="A30" s="1" t="s">
        <v>488</v>
      </c>
      <c r="B30" s="758"/>
      <c r="C30" s="2">
        <v>10</v>
      </c>
      <c r="D30" s="2">
        <v>41</v>
      </c>
      <c r="E30" s="2">
        <v>72</v>
      </c>
      <c r="F30" s="2">
        <v>1</v>
      </c>
      <c r="G30" s="3">
        <v>218</v>
      </c>
      <c r="H30" s="4">
        <v>164</v>
      </c>
      <c r="I30" s="5">
        <v>90</v>
      </c>
      <c r="J30" s="2">
        <f t="shared" si="1"/>
        <v>472</v>
      </c>
      <c r="K30" s="2"/>
      <c r="L30" s="17"/>
      <c r="M30" s="2"/>
      <c r="N30" s="2"/>
      <c r="O30" s="2"/>
      <c r="P30" s="10"/>
    </row>
    <row r="31" ht="17" spans="1:16">
      <c r="A31" s="1" t="s">
        <v>489</v>
      </c>
      <c r="B31" s="759"/>
      <c r="C31" s="2">
        <v>0</v>
      </c>
      <c r="D31" s="2">
        <v>43</v>
      </c>
      <c r="E31" s="2">
        <v>82</v>
      </c>
      <c r="F31" s="2">
        <v>0</v>
      </c>
      <c r="G31" s="3">
        <v>244</v>
      </c>
      <c r="H31" s="4">
        <v>168</v>
      </c>
      <c r="I31" s="5">
        <v>58</v>
      </c>
      <c r="J31" s="2">
        <f t="shared" si="1"/>
        <v>470</v>
      </c>
      <c r="K31" s="2"/>
      <c r="L31" s="17"/>
      <c r="M31" s="2"/>
      <c r="N31" s="2"/>
      <c r="O31" s="2"/>
      <c r="P31" s="10"/>
    </row>
    <row r="32" ht="51" spans="1:16">
      <c r="A32" s="1" t="s">
        <v>490</v>
      </c>
      <c r="B32" s="760"/>
      <c r="C32" s="2">
        <v>15</v>
      </c>
      <c r="D32" s="2">
        <v>45</v>
      </c>
      <c r="E32" s="2">
        <v>65</v>
      </c>
      <c r="F32" s="2">
        <v>0</v>
      </c>
      <c r="G32" s="3">
        <v>219</v>
      </c>
      <c r="H32" s="4">
        <v>156</v>
      </c>
      <c r="I32" s="5">
        <v>94</v>
      </c>
      <c r="J32" s="2">
        <f t="shared" si="1"/>
        <v>469</v>
      </c>
      <c r="K32" s="12"/>
      <c r="L32" s="2"/>
      <c r="M32" s="2"/>
      <c r="N32" s="2"/>
      <c r="O32" s="2"/>
      <c r="P32" s="10" t="s">
        <v>491</v>
      </c>
    </row>
    <row r="33" ht="17" spans="1:16">
      <c r="A33" s="1" t="s">
        <v>492</v>
      </c>
      <c r="B33" s="761"/>
      <c r="C33" s="2">
        <v>0</v>
      </c>
      <c r="D33" s="2">
        <v>44</v>
      </c>
      <c r="E33" s="2">
        <v>84</v>
      </c>
      <c r="F33" s="2">
        <v>0</v>
      </c>
      <c r="G33" s="3">
        <v>249</v>
      </c>
      <c r="H33" s="4">
        <v>166</v>
      </c>
      <c r="I33" s="5">
        <v>51</v>
      </c>
      <c r="J33" s="2">
        <f t="shared" si="1"/>
        <v>466</v>
      </c>
      <c r="K33" s="2"/>
      <c r="L33" s="17"/>
      <c r="M33" s="2"/>
      <c r="N33" s="2"/>
      <c r="O33" s="2"/>
      <c r="P33" s="10"/>
    </row>
    <row r="34" ht="17" spans="1:16">
      <c r="A34" s="1" t="s">
        <v>493</v>
      </c>
      <c r="B34" s="762"/>
      <c r="C34" s="2">
        <v>0</v>
      </c>
      <c r="D34" s="2">
        <v>60</v>
      </c>
      <c r="E34" s="2">
        <v>60</v>
      </c>
      <c r="F34" s="2">
        <v>0</v>
      </c>
      <c r="G34" s="3">
        <v>239</v>
      </c>
      <c r="H34" s="4">
        <v>132</v>
      </c>
      <c r="I34" s="5">
        <v>93</v>
      </c>
      <c r="J34" s="2">
        <f t="shared" si="1"/>
        <v>464</v>
      </c>
      <c r="K34" s="12"/>
      <c r="L34" s="2"/>
      <c r="M34" s="2"/>
      <c r="N34" s="2"/>
      <c r="O34" s="2"/>
      <c r="P34" s="10" t="s">
        <v>494</v>
      </c>
    </row>
    <row r="35" ht="17" spans="1:16">
      <c r="A35" s="1" t="s">
        <v>495</v>
      </c>
      <c r="B35" s="763"/>
      <c r="C35" s="2">
        <v>0</v>
      </c>
      <c r="D35" s="2">
        <v>58</v>
      </c>
      <c r="E35" s="2">
        <v>67</v>
      </c>
      <c r="F35" s="2">
        <v>0</v>
      </c>
      <c r="G35" s="3">
        <v>234</v>
      </c>
      <c r="H35" s="4">
        <v>137</v>
      </c>
      <c r="I35" s="5">
        <v>88</v>
      </c>
      <c r="J35" s="2">
        <f t="shared" si="1"/>
        <v>459</v>
      </c>
      <c r="K35" s="2"/>
      <c r="L35" s="17"/>
      <c r="M35" s="2"/>
      <c r="N35" s="2"/>
      <c r="O35" s="2"/>
      <c r="P35" s="10"/>
    </row>
    <row r="36" ht="17" spans="1:16">
      <c r="A36" s="1" t="s">
        <v>496</v>
      </c>
      <c r="B36" s="764"/>
      <c r="C36" s="2">
        <v>2</v>
      </c>
      <c r="D36" s="2">
        <v>44</v>
      </c>
      <c r="E36" s="2">
        <v>83</v>
      </c>
      <c r="F36" s="2">
        <v>0</v>
      </c>
      <c r="G36" s="3">
        <v>231</v>
      </c>
      <c r="H36" s="4">
        <v>162</v>
      </c>
      <c r="I36" s="5">
        <v>63</v>
      </c>
      <c r="J36" s="2">
        <f t="shared" si="1"/>
        <v>456</v>
      </c>
      <c r="K36" s="2"/>
      <c r="L36" s="17"/>
      <c r="M36" s="2"/>
      <c r="N36" s="2"/>
      <c r="O36" s="2"/>
      <c r="P36" s="10"/>
    </row>
    <row r="37" ht="17" spans="1:16">
      <c r="A37" s="1" t="s">
        <v>497</v>
      </c>
      <c r="B37" s="765"/>
      <c r="C37" s="2">
        <v>0</v>
      </c>
      <c r="D37" s="2">
        <v>62</v>
      </c>
      <c r="E37" s="2">
        <v>66</v>
      </c>
      <c r="F37" s="2">
        <v>0</v>
      </c>
      <c r="G37" s="3">
        <v>238</v>
      </c>
      <c r="H37" s="4">
        <v>128</v>
      </c>
      <c r="I37" s="5">
        <v>85</v>
      </c>
      <c r="J37" s="2">
        <f t="shared" si="1"/>
        <v>451</v>
      </c>
      <c r="K37" s="2"/>
      <c r="L37" s="17"/>
      <c r="M37" s="2"/>
      <c r="N37" s="2"/>
      <c r="O37" s="2"/>
      <c r="P37" s="10"/>
    </row>
    <row r="38" ht="17" spans="1:16">
      <c r="A38" s="1" t="s">
        <v>498</v>
      </c>
      <c r="B38" s="766"/>
      <c r="C38" s="2">
        <v>7</v>
      </c>
      <c r="D38" s="2">
        <v>45</v>
      </c>
      <c r="E38" s="2">
        <v>82</v>
      </c>
      <c r="F38" s="2">
        <v>1</v>
      </c>
      <c r="G38" s="3">
        <v>222</v>
      </c>
      <c r="H38" s="4">
        <v>158</v>
      </c>
      <c r="I38" s="5">
        <v>68</v>
      </c>
      <c r="J38" s="2">
        <f t="shared" si="1"/>
        <v>448</v>
      </c>
      <c r="K38" s="2"/>
      <c r="L38" s="17"/>
      <c r="M38" s="2"/>
      <c r="N38" s="2"/>
      <c r="O38" s="2"/>
      <c r="P38" s="10"/>
    </row>
    <row r="39" ht="34" spans="1:16">
      <c r="A39" s="1" t="s">
        <v>499</v>
      </c>
      <c r="B39" s="767"/>
      <c r="C39" s="2">
        <v>0</v>
      </c>
      <c r="D39" s="2">
        <v>65</v>
      </c>
      <c r="E39" s="2">
        <v>60</v>
      </c>
      <c r="F39" s="2">
        <v>0</v>
      </c>
      <c r="G39" s="3">
        <v>238</v>
      </c>
      <c r="H39" s="4">
        <v>121</v>
      </c>
      <c r="I39" s="5">
        <v>89</v>
      </c>
      <c r="J39" s="2">
        <f t="shared" si="1"/>
        <v>448</v>
      </c>
      <c r="K39" s="12" t="s">
        <v>60</v>
      </c>
      <c r="L39" s="2"/>
      <c r="M39" s="2"/>
      <c r="N39" s="2"/>
      <c r="O39" s="2"/>
      <c r="P39" s="10" t="s">
        <v>500</v>
      </c>
    </row>
    <row r="40" ht="51" spans="1:16">
      <c r="A40" s="1" t="s">
        <v>501</v>
      </c>
      <c r="B40" s="768"/>
      <c r="C40" s="2">
        <v>5</v>
      </c>
      <c r="D40" s="2">
        <v>65</v>
      </c>
      <c r="E40" s="2">
        <v>55</v>
      </c>
      <c r="F40" s="2">
        <v>0</v>
      </c>
      <c r="G40" s="3">
        <v>230</v>
      </c>
      <c r="H40" s="4">
        <v>119</v>
      </c>
      <c r="I40" s="5">
        <v>98</v>
      </c>
      <c r="J40" s="2">
        <f t="shared" ref="J40:J59" si="2">G40+H40+I40</f>
        <v>447</v>
      </c>
      <c r="K40" s="12"/>
      <c r="L40" s="2"/>
      <c r="M40" s="2"/>
      <c r="N40" s="2"/>
      <c r="O40" s="2"/>
      <c r="P40" s="10" t="s">
        <v>502</v>
      </c>
    </row>
    <row r="41" ht="17" spans="1:16">
      <c r="A41" s="1" t="s">
        <v>503</v>
      </c>
      <c r="B41" s="769"/>
      <c r="C41" s="2">
        <v>0</v>
      </c>
      <c r="D41" s="2">
        <v>57</v>
      </c>
      <c r="E41" s="2">
        <v>86</v>
      </c>
      <c r="F41" s="2">
        <v>0</v>
      </c>
      <c r="G41" s="3">
        <v>255</v>
      </c>
      <c r="H41" s="4">
        <v>137</v>
      </c>
      <c r="I41" s="5">
        <v>54</v>
      </c>
      <c r="J41" s="2">
        <f t="shared" si="2"/>
        <v>446</v>
      </c>
      <c r="K41" s="2"/>
      <c r="L41" s="2"/>
      <c r="M41" s="12"/>
      <c r="N41" s="2"/>
      <c r="O41" s="2"/>
      <c r="P41" s="10" t="s">
        <v>504</v>
      </c>
    </row>
    <row r="42" ht="17" spans="1:16">
      <c r="A42" s="1" t="s">
        <v>505</v>
      </c>
      <c r="B42" s="770"/>
      <c r="C42" s="2">
        <v>0</v>
      </c>
      <c r="D42" s="2">
        <v>55</v>
      </c>
      <c r="E42" s="2">
        <v>89</v>
      </c>
      <c r="F42" s="2">
        <v>0</v>
      </c>
      <c r="G42" s="3">
        <v>255</v>
      </c>
      <c r="H42" s="4">
        <v>140</v>
      </c>
      <c r="I42" s="5">
        <v>49</v>
      </c>
      <c r="J42" s="2">
        <f t="shared" si="2"/>
        <v>444</v>
      </c>
      <c r="K42" s="2"/>
      <c r="L42" s="2"/>
      <c r="M42" s="12"/>
      <c r="N42" s="2"/>
      <c r="O42" s="2"/>
      <c r="P42" s="10" t="s">
        <v>506</v>
      </c>
    </row>
    <row r="43" ht="34" spans="1:16">
      <c r="A43" s="1" t="s">
        <v>507</v>
      </c>
      <c r="B43" s="771"/>
      <c r="C43" s="2">
        <v>15</v>
      </c>
      <c r="D43" s="2">
        <v>60</v>
      </c>
      <c r="E43" s="2">
        <v>55</v>
      </c>
      <c r="F43" s="2">
        <v>0</v>
      </c>
      <c r="G43" s="3">
        <v>215</v>
      </c>
      <c r="H43" s="4">
        <v>127</v>
      </c>
      <c r="I43" s="5">
        <v>102</v>
      </c>
      <c r="J43" s="2">
        <f t="shared" si="2"/>
        <v>444</v>
      </c>
      <c r="K43" s="12"/>
      <c r="L43" s="2"/>
      <c r="M43" s="2"/>
      <c r="N43" s="2"/>
      <c r="O43" s="2"/>
      <c r="P43" s="10" t="s">
        <v>508</v>
      </c>
    </row>
    <row r="44" ht="17" spans="1:16">
      <c r="A44" s="1" t="s">
        <v>509</v>
      </c>
      <c r="B44" s="772"/>
      <c r="C44" s="2">
        <v>0</v>
      </c>
      <c r="D44" s="2">
        <v>65</v>
      </c>
      <c r="E44" s="2">
        <v>80</v>
      </c>
      <c r="F44" s="2">
        <v>0</v>
      </c>
      <c r="G44" s="3">
        <v>242</v>
      </c>
      <c r="H44" s="4">
        <v>118</v>
      </c>
      <c r="I44" s="5">
        <v>53</v>
      </c>
      <c r="J44" s="2">
        <f t="shared" si="2"/>
        <v>413</v>
      </c>
      <c r="K44" s="2"/>
      <c r="L44" s="17"/>
      <c r="M44" s="2"/>
      <c r="N44" s="2"/>
      <c r="O44" s="2"/>
      <c r="P44" s="10"/>
    </row>
    <row r="45" ht="17" spans="1:16">
      <c r="A45" s="1" t="s">
        <v>510</v>
      </c>
      <c r="B45" s="773"/>
      <c r="C45" s="2">
        <v>0</v>
      </c>
      <c r="D45" s="2">
        <v>55</v>
      </c>
      <c r="E45" s="2">
        <v>88</v>
      </c>
      <c r="F45" s="2">
        <v>0</v>
      </c>
      <c r="G45" s="3">
        <v>250</v>
      </c>
      <c r="H45" s="4">
        <v>140</v>
      </c>
      <c r="I45" s="5">
        <v>53</v>
      </c>
      <c r="J45" s="2">
        <f t="shared" si="2"/>
        <v>443</v>
      </c>
      <c r="K45" s="2"/>
      <c r="L45" s="2"/>
      <c r="M45" s="12"/>
      <c r="N45" s="2"/>
      <c r="O45" s="2"/>
      <c r="P45" s="10" t="s">
        <v>511</v>
      </c>
    </row>
    <row r="46" ht="17" spans="1:16">
      <c r="A46" s="1" t="s">
        <v>512</v>
      </c>
      <c r="B46" s="774"/>
      <c r="C46" s="2">
        <v>0</v>
      </c>
      <c r="D46" s="2">
        <v>44</v>
      </c>
      <c r="E46" s="2">
        <v>91</v>
      </c>
      <c r="F46" s="2">
        <v>0</v>
      </c>
      <c r="G46" s="3">
        <v>255</v>
      </c>
      <c r="H46" s="4">
        <v>166</v>
      </c>
      <c r="I46" s="5">
        <v>15</v>
      </c>
      <c r="J46" s="2">
        <f t="shared" si="2"/>
        <v>436</v>
      </c>
      <c r="K46" s="2"/>
      <c r="L46" s="17"/>
      <c r="M46" s="2"/>
      <c r="N46" s="2"/>
      <c r="O46" s="2"/>
      <c r="P46" s="10"/>
    </row>
    <row r="47" ht="17" spans="1:16">
      <c r="A47" s="1" t="s">
        <v>513</v>
      </c>
      <c r="B47" s="775"/>
      <c r="C47" s="2">
        <v>0</v>
      </c>
      <c r="D47" s="2">
        <v>45</v>
      </c>
      <c r="E47" s="2">
        <v>92</v>
      </c>
      <c r="F47" s="2">
        <v>0</v>
      </c>
      <c r="G47" s="3">
        <v>251</v>
      </c>
      <c r="H47" s="4">
        <v>164</v>
      </c>
      <c r="I47" s="5">
        <v>20</v>
      </c>
      <c r="J47" s="2">
        <f t="shared" si="2"/>
        <v>435</v>
      </c>
      <c r="K47" s="2"/>
      <c r="L47" s="17"/>
      <c r="M47" s="2"/>
      <c r="N47" s="2"/>
      <c r="O47" s="2"/>
      <c r="P47" s="10"/>
    </row>
    <row r="48" ht="17" spans="1:16">
      <c r="A48" s="1" t="s">
        <v>514</v>
      </c>
      <c r="B48" s="776"/>
      <c r="C48" s="2">
        <v>0</v>
      </c>
      <c r="D48" s="2">
        <v>56</v>
      </c>
      <c r="E48" s="2">
        <v>87</v>
      </c>
      <c r="F48" s="2">
        <v>0</v>
      </c>
      <c r="G48" s="3">
        <v>252</v>
      </c>
      <c r="H48" s="4">
        <v>140</v>
      </c>
      <c r="I48" s="5">
        <v>35</v>
      </c>
      <c r="J48" s="2">
        <f t="shared" si="2"/>
        <v>427</v>
      </c>
      <c r="K48" s="2"/>
      <c r="L48" s="17"/>
      <c r="M48" s="2"/>
      <c r="N48" s="2"/>
      <c r="O48" s="2"/>
      <c r="P48" s="10"/>
    </row>
    <row r="49" ht="17" spans="1:16">
      <c r="A49" s="1" t="s">
        <v>515</v>
      </c>
      <c r="B49" s="777"/>
      <c r="C49" s="2">
        <v>0</v>
      </c>
      <c r="D49" s="2">
        <v>67</v>
      </c>
      <c r="E49" s="2">
        <v>74</v>
      </c>
      <c r="F49" s="2">
        <v>0</v>
      </c>
      <c r="G49" s="3">
        <v>249</v>
      </c>
      <c r="H49" s="4">
        <v>114</v>
      </c>
      <c r="I49" s="5">
        <v>61</v>
      </c>
      <c r="J49" s="2">
        <f t="shared" si="2"/>
        <v>424</v>
      </c>
      <c r="K49" s="2"/>
      <c r="L49" s="17"/>
      <c r="M49" s="2"/>
      <c r="N49" s="2"/>
      <c r="O49" s="2"/>
      <c r="P49" s="10"/>
    </row>
    <row r="50" ht="17" spans="1:16">
      <c r="A50" s="1" t="s">
        <v>516</v>
      </c>
      <c r="B50" s="778"/>
      <c r="C50" s="2">
        <v>0</v>
      </c>
      <c r="D50" s="2">
        <v>69</v>
      </c>
      <c r="E50" s="2">
        <v>70</v>
      </c>
      <c r="F50" s="2">
        <v>0</v>
      </c>
      <c r="G50" s="3">
        <v>239</v>
      </c>
      <c r="H50" s="4">
        <v>111</v>
      </c>
      <c r="I50" s="5">
        <v>72</v>
      </c>
      <c r="J50" s="2">
        <f t="shared" si="2"/>
        <v>422</v>
      </c>
      <c r="K50" s="2"/>
      <c r="L50" s="17"/>
      <c r="M50" s="2"/>
      <c r="N50" s="2"/>
      <c r="O50" s="2"/>
      <c r="P50" s="10"/>
    </row>
    <row r="51" ht="17" spans="1:16">
      <c r="A51" s="1" t="s">
        <v>517</v>
      </c>
      <c r="B51" s="779"/>
      <c r="C51" s="2">
        <v>0</v>
      </c>
      <c r="D51" s="2">
        <v>65</v>
      </c>
      <c r="E51" s="2">
        <v>79</v>
      </c>
      <c r="F51" s="2">
        <v>0</v>
      </c>
      <c r="G51" s="3">
        <v>252</v>
      </c>
      <c r="H51" s="4">
        <v>121</v>
      </c>
      <c r="I51" s="5">
        <v>48</v>
      </c>
      <c r="J51" s="2">
        <f t="shared" si="2"/>
        <v>421</v>
      </c>
      <c r="K51" s="2"/>
      <c r="L51" s="17"/>
      <c r="M51" s="2"/>
      <c r="N51" s="2"/>
      <c r="O51" s="2"/>
      <c r="P51" s="10"/>
    </row>
    <row r="52" ht="17" spans="1:16">
      <c r="A52" s="1" t="s">
        <v>518</v>
      </c>
      <c r="B52" s="780"/>
      <c r="C52" s="2">
        <v>19</v>
      </c>
      <c r="D52" s="2">
        <v>44</v>
      </c>
      <c r="E52" s="2">
        <v>75</v>
      </c>
      <c r="F52" s="2">
        <v>7</v>
      </c>
      <c r="G52" s="3">
        <v>192</v>
      </c>
      <c r="H52" s="4">
        <v>147</v>
      </c>
      <c r="I52" s="5">
        <v>81</v>
      </c>
      <c r="J52" s="2">
        <f t="shared" si="2"/>
        <v>420</v>
      </c>
      <c r="K52" s="2"/>
      <c r="L52" s="17"/>
      <c r="M52" s="2"/>
      <c r="N52" s="2"/>
      <c r="O52" s="2"/>
      <c r="P52" s="10"/>
    </row>
    <row r="53" ht="17" spans="1:16">
      <c r="A53" s="1" t="s">
        <v>519</v>
      </c>
      <c r="B53" s="781"/>
      <c r="C53" s="2">
        <v>0</v>
      </c>
      <c r="D53" s="2">
        <v>41</v>
      </c>
      <c r="E53" s="2">
        <v>100</v>
      </c>
      <c r="F53" s="2">
        <v>0</v>
      </c>
      <c r="G53" s="3">
        <v>255</v>
      </c>
      <c r="H53" s="4">
        <v>164</v>
      </c>
      <c r="I53" s="5">
        <v>0</v>
      </c>
      <c r="J53" s="2">
        <f t="shared" si="2"/>
        <v>419</v>
      </c>
      <c r="K53" s="2"/>
      <c r="L53" s="2"/>
      <c r="M53" s="12"/>
      <c r="N53" s="2"/>
      <c r="O53" s="2"/>
      <c r="P53" s="10" t="s">
        <v>520</v>
      </c>
    </row>
    <row r="54" ht="17" spans="1:16">
      <c r="A54" s="1" t="s">
        <v>521</v>
      </c>
      <c r="B54" s="782"/>
      <c r="C54" s="2">
        <v>0</v>
      </c>
      <c r="D54" s="2">
        <v>47</v>
      </c>
      <c r="E54" s="2">
        <v>92</v>
      </c>
      <c r="F54" s="2">
        <v>0</v>
      </c>
      <c r="G54" s="3">
        <v>252</v>
      </c>
      <c r="H54" s="4">
        <v>161</v>
      </c>
      <c r="I54" s="5">
        <v>6</v>
      </c>
      <c r="J54" s="2">
        <f t="shared" si="2"/>
        <v>419</v>
      </c>
      <c r="K54" s="2"/>
      <c r="L54" s="17"/>
      <c r="M54" s="2"/>
      <c r="N54" s="14"/>
      <c r="O54" s="2"/>
      <c r="P54" s="10" t="s">
        <v>522</v>
      </c>
    </row>
    <row r="55" ht="17" spans="1:16">
      <c r="A55" s="1" t="s">
        <v>523</v>
      </c>
      <c r="B55" s="783"/>
      <c r="C55" s="2">
        <v>0</v>
      </c>
      <c r="D55" s="2">
        <v>47</v>
      </c>
      <c r="E55" s="2">
        <v>92</v>
      </c>
      <c r="F55" s="2">
        <v>0</v>
      </c>
      <c r="G55" s="3">
        <v>252</v>
      </c>
      <c r="H55" s="4">
        <v>161</v>
      </c>
      <c r="I55" s="5">
        <v>4</v>
      </c>
      <c r="J55" s="2">
        <f t="shared" si="2"/>
        <v>417</v>
      </c>
      <c r="K55" s="2"/>
      <c r="L55" s="17"/>
      <c r="M55" s="2"/>
      <c r="N55" s="2"/>
      <c r="O55" s="2"/>
      <c r="P55" s="10"/>
    </row>
    <row r="56" ht="17" spans="1:16">
      <c r="A56" s="1" t="s">
        <v>524</v>
      </c>
      <c r="B56" s="784"/>
      <c r="C56" s="2">
        <v>4</v>
      </c>
      <c r="D56" s="2">
        <v>57</v>
      </c>
      <c r="E56" s="2">
        <v>82</v>
      </c>
      <c r="F56" s="2">
        <v>1</v>
      </c>
      <c r="G56" s="3">
        <v>219</v>
      </c>
      <c r="H56" s="4">
        <v>133</v>
      </c>
      <c r="I56" s="5">
        <v>64</v>
      </c>
      <c r="J56" s="2">
        <f t="shared" si="2"/>
        <v>416</v>
      </c>
      <c r="K56" s="2"/>
      <c r="L56" s="17"/>
      <c r="M56" s="2"/>
      <c r="N56" s="2"/>
      <c r="O56" s="2"/>
      <c r="P56" s="10"/>
    </row>
    <row r="57" ht="17" spans="1:16">
      <c r="A57" s="1" t="s">
        <v>525</v>
      </c>
      <c r="B57" s="785"/>
      <c r="C57" s="2">
        <v>0</v>
      </c>
      <c r="D57" s="2">
        <v>70</v>
      </c>
      <c r="E57" s="2">
        <v>70</v>
      </c>
      <c r="F57" s="2">
        <v>0</v>
      </c>
      <c r="G57" s="3">
        <v>237</v>
      </c>
      <c r="H57" s="4">
        <v>109</v>
      </c>
      <c r="I57" s="5">
        <v>70</v>
      </c>
      <c r="J57" s="2">
        <f t="shared" si="2"/>
        <v>416</v>
      </c>
      <c r="K57" s="12"/>
      <c r="L57" s="2"/>
      <c r="M57" s="2"/>
      <c r="N57" s="2"/>
      <c r="O57" s="2"/>
      <c r="P57" s="10" t="s">
        <v>526</v>
      </c>
    </row>
    <row r="58" ht="84" spans="1:16">
      <c r="A58" s="1" t="s">
        <v>527</v>
      </c>
      <c r="B58" s="786"/>
      <c r="C58" s="2">
        <v>15</v>
      </c>
      <c r="D58" s="2">
        <v>50</v>
      </c>
      <c r="E58" s="2">
        <v>85</v>
      </c>
      <c r="F58" s="2">
        <v>0</v>
      </c>
      <c r="G58" s="3">
        <v>218</v>
      </c>
      <c r="H58" s="4">
        <v>146</v>
      </c>
      <c r="I58" s="5">
        <v>51</v>
      </c>
      <c r="J58" s="2">
        <f t="shared" si="2"/>
        <v>415</v>
      </c>
      <c r="K58" s="12"/>
      <c r="L58" s="2"/>
      <c r="M58" s="2"/>
      <c r="N58" s="2"/>
      <c r="O58" s="2"/>
      <c r="P58" s="10" t="s">
        <v>528</v>
      </c>
    </row>
    <row r="59" ht="51" spans="1:16">
      <c r="A59" s="1" t="s">
        <v>529</v>
      </c>
      <c r="B59" s="787"/>
      <c r="C59" s="2">
        <v>0</v>
      </c>
      <c r="D59" s="2">
        <v>54</v>
      </c>
      <c r="E59" s="2">
        <v>92</v>
      </c>
      <c r="F59" s="2">
        <v>0</v>
      </c>
      <c r="G59" s="3">
        <v>250</v>
      </c>
      <c r="H59" s="4">
        <v>142</v>
      </c>
      <c r="I59" s="5">
        <v>22</v>
      </c>
      <c r="J59" s="2">
        <f t="shared" si="2"/>
        <v>414</v>
      </c>
      <c r="K59" s="2"/>
      <c r="L59" s="17"/>
      <c r="M59" s="12" t="s">
        <v>530</v>
      </c>
      <c r="N59" s="14"/>
      <c r="O59" s="2"/>
      <c r="P59" s="10" t="s">
        <v>531</v>
      </c>
    </row>
    <row r="60" ht="17" spans="1:16">
      <c r="A60" s="1" t="s">
        <v>532</v>
      </c>
      <c r="B60" s="788"/>
      <c r="C60" s="2">
        <v>15</v>
      </c>
      <c r="D60" s="2">
        <v>55</v>
      </c>
      <c r="E60" s="2">
        <v>80</v>
      </c>
      <c r="F60" s="2">
        <v>0</v>
      </c>
      <c r="G60" s="3">
        <v>217</v>
      </c>
      <c r="H60" s="4">
        <v>136</v>
      </c>
      <c r="I60" s="5">
        <v>61</v>
      </c>
      <c r="J60" s="2">
        <f t="shared" si="1"/>
        <v>414</v>
      </c>
      <c r="K60" s="12" t="s">
        <v>60</v>
      </c>
      <c r="L60" s="2"/>
      <c r="M60" s="2"/>
      <c r="N60" s="2"/>
      <c r="O60" s="2"/>
      <c r="P60" s="10" t="s">
        <v>533</v>
      </c>
    </row>
    <row r="61" ht="17" spans="1:16">
      <c r="A61" s="1" t="s">
        <v>534</v>
      </c>
      <c r="B61" s="789"/>
      <c r="C61" s="2">
        <v>0</v>
      </c>
      <c r="D61" s="2">
        <v>62</v>
      </c>
      <c r="E61" s="2">
        <v>85</v>
      </c>
      <c r="F61" s="2">
        <v>0</v>
      </c>
      <c r="G61" s="3">
        <v>250</v>
      </c>
      <c r="H61" s="4">
        <v>126</v>
      </c>
      <c r="I61" s="5">
        <v>35</v>
      </c>
      <c r="J61" s="2">
        <f t="shared" si="1"/>
        <v>411</v>
      </c>
      <c r="K61" s="2"/>
      <c r="L61" s="17"/>
      <c r="M61" s="2"/>
      <c r="N61" s="2"/>
      <c r="O61" s="2"/>
      <c r="P61" s="10"/>
    </row>
    <row r="62" ht="17" spans="1:16">
      <c r="A62" s="1" t="s">
        <v>535</v>
      </c>
      <c r="B62" s="790"/>
      <c r="C62" s="2">
        <v>0</v>
      </c>
      <c r="D62" s="2">
        <v>51</v>
      </c>
      <c r="E62" s="2">
        <v>91</v>
      </c>
      <c r="F62" s="2">
        <v>0</v>
      </c>
      <c r="G62" s="3">
        <v>255</v>
      </c>
      <c r="H62" s="4">
        <v>153</v>
      </c>
      <c r="I62" s="5">
        <v>0</v>
      </c>
      <c r="J62" s="2">
        <f t="shared" si="1"/>
        <v>408</v>
      </c>
      <c r="K62" s="2"/>
      <c r="L62" s="17"/>
      <c r="M62" s="2"/>
      <c r="N62" s="2"/>
      <c r="O62" s="2"/>
      <c r="P62" s="10"/>
    </row>
    <row r="63" ht="34" spans="1:16">
      <c r="A63" s="1" t="s">
        <v>536</v>
      </c>
      <c r="B63" s="791"/>
      <c r="C63" s="2">
        <v>10</v>
      </c>
      <c r="D63" s="2">
        <v>70</v>
      </c>
      <c r="E63" s="2">
        <v>65</v>
      </c>
      <c r="F63" s="2">
        <v>0</v>
      </c>
      <c r="G63" s="3">
        <v>221</v>
      </c>
      <c r="H63" s="4">
        <v>107</v>
      </c>
      <c r="I63" s="5">
        <v>79</v>
      </c>
      <c r="J63" s="2">
        <f t="shared" si="1"/>
        <v>407</v>
      </c>
      <c r="K63" s="12"/>
      <c r="L63" s="2"/>
      <c r="M63" s="2"/>
      <c r="N63" s="2"/>
      <c r="O63" s="2"/>
      <c r="P63" s="10" t="s">
        <v>537</v>
      </c>
    </row>
    <row r="64" ht="17" spans="1:16">
      <c r="A64" s="1" t="s">
        <v>538</v>
      </c>
      <c r="B64" s="792"/>
      <c r="C64" s="2">
        <v>0</v>
      </c>
      <c r="D64" s="2">
        <v>70</v>
      </c>
      <c r="E64" s="2">
        <v>75</v>
      </c>
      <c r="F64" s="2">
        <v>0</v>
      </c>
      <c r="G64" s="3">
        <v>237</v>
      </c>
      <c r="H64" s="4">
        <v>109</v>
      </c>
      <c r="I64" s="5">
        <v>61</v>
      </c>
      <c r="J64" s="2">
        <f t="shared" si="1"/>
        <v>407</v>
      </c>
      <c r="K64" s="12" t="s">
        <v>60</v>
      </c>
      <c r="L64" s="2"/>
      <c r="M64" s="2"/>
      <c r="N64" s="2"/>
      <c r="O64" s="2"/>
      <c r="P64" s="10" t="s">
        <v>539</v>
      </c>
    </row>
    <row r="65" ht="135" spans="1:16">
      <c r="A65" s="1" t="s">
        <v>540</v>
      </c>
      <c r="B65" s="793"/>
      <c r="C65" s="2">
        <v>0</v>
      </c>
      <c r="D65" s="2">
        <v>60</v>
      </c>
      <c r="E65" s="2">
        <v>78</v>
      </c>
      <c r="F65" s="2">
        <v>10</v>
      </c>
      <c r="G65" s="3">
        <v>224</v>
      </c>
      <c r="H65" s="4">
        <v>123</v>
      </c>
      <c r="I65" s="794">
        <v>55</v>
      </c>
      <c r="J65" s="2">
        <f t="shared" si="1"/>
        <v>402</v>
      </c>
      <c r="K65" s="2"/>
      <c r="L65" s="2"/>
      <c r="M65" s="12" t="s">
        <v>541</v>
      </c>
      <c r="N65" s="14"/>
      <c r="O65" s="9"/>
      <c r="P65" s="10" t="s">
        <v>542</v>
      </c>
    </row>
    <row r="66" ht="17" spans="1:16">
      <c r="A66" s="1" t="s">
        <v>543</v>
      </c>
      <c r="B66" s="795"/>
      <c r="C66" s="2">
        <v>0</v>
      </c>
      <c r="D66" s="2">
        <v>62</v>
      </c>
      <c r="E66" s="2">
        <v>88</v>
      </c>
      <c r="F66" s="2">
        <v>0</v>
      </c>
      <c r="G66" s="3">
        <v>249</v>
      </c>
      <c r="H66" s="4">
        <v>125</v>
      </c>
      <c r="I66" s="5">
        <v>28</v>
      </c>
      <c r="J66" s="2">
        <f t="shared" ref="J66:J74" si="3">G66+H66+I66</f>
        <v>402</v>
      </c>
      <c r="K66" s="2"/>
      <c r="L66" s="17"/>
      <c r="M66" s="2"/>
      <c r="N66" s="2"/>
      <c r="O66" s="2"/>
      <c r="P66" s="10"/>
    </row>
    <row r="67" ht="84" spans="1:16">
      <c r="A67" s="1" t="s">
        <v>544</v>
      </c>
      <c r="B67" s="796"/>
      <c r="C67" s="2">
        <v>0</v>
      </c>
      <c r="D67" s="2">
        <v>65</v>
      </c>
      <c r="E67" s="2">
        <v>72</v>
      </c>
      <c r="F67" s="2">
        <v>10</v>
      </c>
      <c r="G67" s="3">
        <v>223</v>
      </c>
      <c r="H67" s="4">
        <v>113</v>
      </c>
      <c r="I67" s="794">
        <v>64</v>
      </c>
      <c r="J67" s="2">
        <f t="shared" si="3"/>
        <v>400</v>
      </c>
      <c r="K67" s="2"/>
      <c r="L67" s="2"/>
      <c r="M67" s="2"/>
      <c r="N67" s="14"/>
      <c r="O67" s="9"/>
      <c r="P67" s="10" t="s">
        <v>545</v>
      </c>
    </row>
    <row r="68" ht="17" spans="1:16">
      <c r="A68" s="1" t="s">
        <v>546</v>
      </c>
      <c r="B68" s="797"/>
      <c r="C68" s="2">
        <v>6</v>
      </c>
      <c r="D68" s="2">
        <v>51</v>
      </c>
      <c r="E68" s="2">
        <v>95</v>
      </c>
      <c r="F68" s="2">
        <v>1</v>
      </c>
      <c r="G68" s="3">
        <v>220</v>
      </c>
      <c r="H68" s="4">
        <v>145</v>
      </c>
      <c r="I68" s="5">
        <v>35</v>
      </c>
      <c r="J68" s="2">
        <f t="shared" si="3"/>
        <v>400</v>
      </c>
      <c r="K68" s="2"/>
      <c r="L68" s="17"/>
      <c r="M68" s="2"/>
      <c r="N68" s="2"/>
      <c r="O68" s="2"/>
      <c r="P68" s="10"/>
    </row>
    <row r="69" ht="168" spans="1:16">
      <c r="A69" s="1" t="s">
        <v>547</v>
      </c>
      <c r="B69" s="798"/>
      <c r="C69" s="2">
        <v>5</v>
      </c>
      <c r="D69" s="2">
        <v>69</v>
      </c>
      <c r="E69" s="2">
        <v>87</v>
      </c>
      <c r="F69" s="2">
        <v>0</v>
      </c>
      <c r="G69" s="3">
        <v>242</v>
      </c>
      <c r="H69" s="4">
        <v>123</v>
      </c>
      <c r="I69" s="5">
        <v>31</v>
      </c>
      <c r="J69" s="2">
        <f t="shared" si="3"/>
        <v>396</v>
      </c>
      <c r="K69" s="2"/>
      <c r="L69" s="17"/>
      <c r="M69" s="2"/>
      <c r="N69" s="2"/>
      <c r="O69" s="9" t="s">
        <v>548</v>
      </c>
      <c r="P69" s="10" t="s">
        <v>549</v>
      </c>
    </row>
    <row r="70" ht="17" spans="1:16">
      <c r="A70" s="1" t="s">
        <v>550</v>
      </c>
      <c r="B70" s="799"/>
      <c r="C70" s="2">
        <v>0</v>
      </c>
      <c r="D70" s="2">
        <v>56</v>
      </c>
      <c r="E70" s="2">
        <v>91</v>
      </c>
      <c r="F70" s="2">
        <v>0</v>
      </c>
      <c r="G70" s="3">
        <v>251</v>
      </c>
      <c r="H70" s="4">
        <v>139</v>
      </c>
      <c r="I70" s="5">
        <v>5</v>
      </c>
      <c r="J70" s="2">
        <f t="shared" si="3"/>
        <v>395</v>
      </c>
      <c r="K70" s="2"/>
      <c r="L70" s="17"/>
      <c r="M70" s="2"/>
      <c r="N70" s="14"/>
      <c r="O70" s="2"/>
      <c r="P70" s="10" t="s">
        <v>551</v>
      </c>
    </row>
    <row r="71" ht="17" spans="1:16">
      <c r="A71" s="1" t="s">
        <v>552</v>
      </c>
      <c r="B71" s="800"/>
      <c r="C71" s="2">
        <v>9</v>
      </c>
      <c r="D71" s="2">
        <v>64</v>
      </c>
      <c r="E71" s="2">
        <v>78</v>
      </c>
      <c r="F71" s="2">
        <v>1</v>
      </c>
      <c r="G71" s="3">
        <v>207</v>
      </c>
      <c r="H71" s="4">
        <v>117</v>
      </c>
      <c r="I71" s="5">
        <v>67</v>
      </c>
      <c r="J71" s="2">
        <f t="shared" si="3"/>
        <v>391</v>
      </c>
      <c r="K71" s="2"/>
      <c r="L71" s="17"/>
      <c r="M71" s="2"/>
      <c r="N71" s="2"/>
      <c r="O71" s="2"/>
      <c r="P71" s="10"/>
    </row>
    <row r="72" ht="118" spans="1:16">
      <c r="A72" s="1" t="s">
        <v>553</v>
      </c>
      <c r="B72" s="801"/>
      <c r="C72" s="2">
        <v>0</v>
      </c>
      <c r="D72" s="2">
        <v>52</v>
      </c>
      <c r="E72" s="2">
        <v>95</v>
      </c>
      <c r="F72" s="2">
        <v>0</v>
      </c>
      <c r="G72" s="3">
        <v>242</v>
      </c>
      <c r="H72" s="4">
        <v>148</v>
      </c>
      <c r="I72" s="5">
        <v>0</v>
      </c>
      <c r="J72" s="2">
        <f t="shared" si="3"/>
        <v>390</v>
      </c>
      <c r="K72" s="2"/>
      <c r="L72" s="2"/>
      <c r="M72" s="2"/>
      <c r="N72" s="2"/>
      <c r="O72" s="9"/>
      <c r="P72" s="10" t="s">
        <v>554</v>
      </c>
    </row>
    <row r="73" ht="17" spans="1:16">
      <c r="A73" s="1" t="s">
        <v>555</v>
      </c>
      <c r="B73" s="802"/>
      <c r="C73" s="2">
        <v>0</v>
      </c>
      <c r="D73" s="2">
        <v>69</v>
      </c>
      <c r="E73" s="2">
        <v>86</v>
      </c>
      <c r="F73" s="2">
        <v>0</v>
      </c>
      <c r="G73" s="3">
        <v>248</v>
      </c>
      <c r="H73" s="4">
        <v>107</v>
      </c>
      <c r="I73" s="5">
        <v>29</v>
      </c>
      <c r="J73" s="2">
        <f t="shared" si="3"/>
        <v>384</v>
      </c>
      <c r="K73" s="2"/>
      <c r="L73" s="17"/>
      <c r="M73" s="2"/>
      <c r="N73" s="2"/>
      <c r="O73" s="2"/>
      <c r="P73" s="10"/>
    </row>
    <row r="74" ht="17" spans="1:16">
      <c r="A74" s="1" t="s">
        <v>556</v>
      </c>
      <c r="B74" s="803"/>
      <c r="C74" s="2">
        <v>0</v>
      </c>
      <c r="D74" s="2">
        <v>72</v>
      </c>
      <c r="E74" s="2">
        <v>82</v>
      </c>
      <c r="F74" s="2">
        <v>0</v>
      </c>
      <c r="G74" s="3">
        <v>239</v>
      </c>
      <c r="H74" s="4">
        <v>99</v>
      </c>
      <c r="I74" s="5">
        <v>43</v>
      </c>
      <c r="J74" s="2">
        <f t="shared" si="3"/>
        <v>381</v>
      </c>
      <c r="K74" s="2"/>
      <c r="L74" s="17"/>
      <c r="M74" s="2"/>
      <c r="N74" s="2"/>
      <c r="O74" s="2"/>
      <c r="P74" s="10"/>
    </row>
    <row r="75" ht="84" spans="1:16">
      <c r="A75" s="1" t="s">
        <v>557</v>
      </c>
      <c r="B75" s="804"/>
      <c r="C75" s="2">
        <v>25</v>
      </c>
      <c r="D75" s="2">
        <v>75</v>
      </c>
      <c r="E75" s="2">
        <v>55</v>
      </c>
      <c r="F75" s="2">
        <v>0</v>
      </c>
      <c r="G75" s="3">
        <v>195</v>
      </c>
      <c r="H75" s="4">
        <v>92</v>
      </c>
      <c r="I75" s="5">
        <v>93</v>
      </c>
      <c r="J75" s="2">
        <f t="shared" si="1"/>
        <v>380</v>
      </c>
      <c r="K75" s="12" t="s">
        <v>60</v>
      </c>
      <c r="L75" s="2"/>
      <c r="M75" s="2"/>
      <c r="N75" s="2"/>
      <c r="O75" s="2"/>
      <c r="P75" s="10" t="s">
        <v>558</v>
      </c>
    </row>
    <row r="76" ht="17" spans="1:16">
      <c r="A76" s="1" t="s">
        <v>559</v>
      </c>
      <c r="B76" s="805"/>
      <c r="C76" s="2">
        <v>0</v>
      </c>
      <c r="D76" s="2">
        <v>64</v>
      </c>
      <c r="E76" s="2">
        <v>93</v>
      </c>
      <c r="F76" s="2">
        <v>0</v>
      </c>
      <c r="G76" s="3">
        <v>222</v>
      </c>
      <c r="H76" s="4">
        <v>118</v>
      </c>
      <c r="I76" s="5">
        <v>34</v>
      </c>
      <c r="J76" s="2">
        <f t="shared" ref="J76:J81" si="4">G76+H76+I76</f>
        <v>374</v>
      </c>
      <c r="K76" s="2"/>
      <c r="L76" s="17"/>
      <c r="M76" s="2"/>
      <c r="N76" s="2"/>
      <c r="O76" s="2"/>
      <c r="P76" s="10"/>
    </row>
    <row r="77" ht="17" spans="1:16">
      <c r="A77" s="1" t="s">
        <v>560</v>
      </c>
      <c r="B77" s="806"/>
      <c r="C77" s="2">
        <v>0</v>
      </c>
      <c r="D77" s="2">
        <v>70</v>
      </c>
      <c r="E77" s="2">
        <v>87</v>
      </c>
      <c r="F77" s="2">
        <v>0</v>
      </c>
      <c r="G77" s="3">
        <v>228</v>
      </c>
      <c r="H77" s="4">
        <v>104</v>
      </c>
      <c r="I77" s="5">
        <v>40</v>
      </c>
      <c r="J77" s="2">
        <f t="shared" si="4"/>
        <v>372</v>
      </c>
      <c r="K77" s="2"/>
      <c r="L77" s="17"/>
      <c r="M77" s="2"/>
      <c r="N77" s="2"/>
      <c r="O77" s="2"/>
      <c r="P77" s="10"/>
    </row>
    <row r="78" ht="17" spans="1:16">
      <c r="A78" s="1" t="s">
        <v>561</v>
      </c>
      <c r="B78" s="807"/>
      <c r="C78" s="2">
        <v>0</v>
      </c>
      <c r="D78" s="2">
        <v>72</v>
      </c>
      <c r="E78" s="2">
        <v>86</v>
      </c>
      <c r="F78" s="2">
        <v>0</v>
      </c>
      <c r="G78" s="3">
        <v>252</v>
      </c>
      <c r="H78" s="4">
        <v>99</v>
      </c>
      <c r="I78" s="5">
        <v>21</v>
      </c>
      <c r="J78" s="2">
        <f t="shared" si="4"/>
        <v>372</v>
      </c>
      <c r="K78" s="2"/>
      <c r="L78" s="17"/>
      <c r="M78" s="2"/>
      <c r="N78" s="2"/>
      <c r="O78" s="2"/>
      <c r="P78" s="10"/>
    </row>
    <row r="79" ht="17" spans="1:16">
      <c r="A79" s="1" t="s">
        <v>562</v>
      </c>
      <c r="B79" s="808"/>
      <c r="C79" s="2">
        <v>0</v>
      </c>
      <c r="D79" s="2">
        <v>67</v>
      </c>
      <c r="E79" s="2">
        <v>100</v>
      </c>
      <c r="F79" s="2">
        <v>0</v>
      </c>
      <c r="G79" s="3">
        <v>255</v>
      </c>
      <c r="H79" s="4">
        <v>117</v>
      </c>
      <c r="I79" s="5">
        <v>0</v>
      </c>
      <c r="J79" s="2">
        <f t="shared" si="4"/>
        <v>372</v>
      </c>
      <c r="K79" s="2"/>
      <c r="L79" s="2"/>
      <c r="M79" s="12"/>
      <c r="N79" s="2"/>
      <c r="O79" s="2"/>
      <c r="P79" s="10" t="s">
        <v>563</v>
      </c>
    </row>
    <row r="80" ht="17" spans="1:16">
      <c r="A80" s="1" t="s">
        <v>564</v>
      </c>
      <c r="B80" s="809"/>
      <c r="C80" s="2">
        <v>0</v>
      </c>
      <c r="D80" s="2">
        <v>74</v>
      </c>
      <c r="E80" s="2">
        <v>85</v>
      </c>
      <c r="F80" s="2">
        <v>0</v>
      </c>
      <c r="G80" s="3">
        <v>250</v>
      </c>
      <c r="H80" s="4">
        <v>93</v>
      </c>
      <c r="I80" s="5">
        <v>25</v>
      </c>
      <c r="J80" s="2">
        <f t="shared" si="4"/>
        <v>368</v>
      </c>
      <c r="K80" s="2"/>
      <c r="L80" s="17"/>
      <c r="M80" s="2"/>
      <c r="N80" s="2"/>
      <c r="O80" s="2"/>
      <c r="P80" s="10"/>
    </row>
    <row r="81" ht="34" spans="1:16">
      <c r="A81" s="1" t="s">
        <v>565</v>
      </c>
      <c r="B81" s="810"/>
      <c r="C81" s="2">
        <v>30</v>
      </c>
      <c r="D81" s="2">
        <v>65</v>
      </c>
      <c r="E81" s="2">
        <v>85</v>
      </c>
      <c r="F81" s="2">
        <v>0</v>
      </c>
      <c r="G81" s="3">
        <v>188</v>
      </c>
      <c r="H81" s="4">
        <v>110</v>
      </c>
      <c r="I81" s="5">
        <v>55</v>
      </c>
      <c r="J81" s="2">
        <f t="shared" si="4"/>
        <v>353</v>
      </c>
      <c r="K81" s="12"/>
      <c r="L81" s="2"/>
      <c r="M81" s="2"/>
      <c r="N81" s="2"/>
      <c r="O81" s="2"/>
      <c r="P81" s="10" t="s">
        <v>566</v>
      </c>
    </row>
    <row r="82" ht="51" spans="1:16">
      <c r="A82" s="1" t="s">
        <v>567</v>
      </c>
      <c r="B82" s="811"/>
      <c r="C82" s="2">
        <v>30</v>
      </c>
      <c r="D82" s="2">
        <v>75</v>
      </c>
      <c r="E82" s="2">
        <v>70</v>
      </c>
      <c r="F82" s="2">
        <v>0</v>
      </c>
      <c r="G82" s="3">
        <v>186</v>
      </c>
      <c r="H82" s="4">
        <v>91</v>
      </c>
      <c r="I82" s="5">
        <v>73</v>
      </c>
      <c r="J82" s="2">
        <f t="shared" si="1"/>
        <v>350</v>
      </c>
      <c r="K82" s="12" t="s">
        <v>568</v>
      </c>
      <c r="L82" s="2"/>
      <c r="M82" s="2"/>
      <c r="N82" s="2"/>
      <c r="O82" s="2"/>
      <c r="P82" s="10" t="s">
        <v>569</v>
      </c>
    </row>
    <row r="83" ht="17" spans="1:16">
      <c r="A83" s="1" t="s">
        <v>570</v>
      </c>
      <c r="B83" s="812"/>
      <c r="C83" s="2">
        <v>20</v>
      </c>
      <c r="D83" s="2">
        <v>80</v>
      </c>
      <c r="E83" s="2">
        <v>75</v>
      </c>
      <c r="F83" s="2">
        <v>0</v>
      </c>
      <c r="G83" s="3">
        <v>203</v>
      </c>
      <c r="H83" s="4">
        <v>82</v>
      </c>
      <c r="I83" s="5">
        <v>62</v>
      </c>
      <c r="J83" s="2">
        <f t="shared" si="1"/>
        <v>347</v>
      </c>
      <c r="K83" s="12" t="s">
        <v>60</v>
      </c>
      <c r="L83" s="2"/>
      <c r="M83" s="2"/>
      <c r="N83" s="2"/>
      <c r="O83" s="2"/>
      <c r="P83" s="10" t="s">
        <v>571</v>
      </c>
    </row>
    <row r="84" ht="17" spans="1:16">
      <c r="A84" s="1" t="s">
        <v>572</v>
      </c>
      <c r="B84" s="813"/>
      <c r="C84" s="2">
        <v>0</v>
      </c>
      <c r="D84" s="2">
        <v>85</v>
      </c>
      <c r="E84" s="2">
        <v>85</v>
      </c>
      <c r="F84" s="2">
        <v>0</v>
      </c>
      <c r="G84" s="3">
        <v>233</v>
      </c>
      <c r="H84" s="4">
        <v>72</v>
      </c>
      <c r="I84" s="5">
        <v>41</v>
      </c>
      <c r="J84" s="2">
        <f t="shared" si="1"/>
        <v>346</v>
      </c>
      <c r="K84" s="12"/>
      <c r="L84" s="2"/>
      <c r="M84" s="2"/>
      <c r="N84" s="2"/>
      <c r="O84" s="2"/>
      <c r="P84" s="10" t="s">
        <v>573</v>
      </c>
    </row>
    <row r="85" ht="84" spans="1:16">
      <c r="A85" s="1" t="s">
        <v>574</v>
      </c>
      <c r="B85" s="814"/>
      <c r="C85" s="2">
        <v>0</v>
      </c>
      <c r="D85" s="2">
        <v>80</v>
      </c>
      <c r="E85" s="2">
        <v>95</v>
      </c>
      <c r="F85" s="2">
        <v>0</v>
      </c>
      <c r="G85" s="3">
        <v>234</v>
      </c>
      <c r="H85" s="4">
        <v>85</v>
      </c>
      <c r="I85" s="5">
        <v>20</v>
      </c>
      <c r="J85" s="2">
        <f t="shared" si="1"/>
        <v>339</v>
      </c>
      <c r="K85" s="12"/>
      <c r="L85" s="2"/>
      <c r="M85" s="2"/>
      <c r="N85" s="2"/>
      <c r="O85" s="2"/>
      <c r="P85" s="10" t="s">
        <v>575</v>
      </c>
    </row>
    <row r="86" ht="17" spans="1:16">
      <c r="A86" s="1" t="s">
        <v>576</v>
      </c>
      <c r="B86" s="815"/>
      <c r="C86" s="2">
        <v>35</v>
      </c>
      <c r="D86" s="2">
        <v>75</v>
      </c>
      <c r="E86" s="2">
        <v>75</v>
      </c>
      <c r="F86" s="2">
        <v>0</v>
      </c>
      <c r="G86" s="3">
        <v>177</v>
      </c>
      <c r="H86" s="4">
        <v>90</v>
      </c>
      <c r="I86" s="5">
        <v>67</v>
      </c>
      <c r="J86" s="2">
        <f t="shared" si="1"/>
        <v>334</v>
      </c>
      <c r="K86" s="12"/>
      <c r="L86" s="2"/>
      <c r="M86" s="2"/>
      <c r="N86" s="2"/>
      <c r="O86" s="2"/>
      <c r="P86" s="10" t="s">
        <v>577</v>
      </c>
    </row>
    <row r="87" ht="34" spans="1:16">
      <c r="A87" s="1" t="s">
        <v>578</v>
      </c>
      <c r="B87" s="816"/>
      <c r="C87" s="2">
        <v>30</v>
      </c>
      <c r="D87" s="2">
        <v>80</v>
      </c>
      <c r="E87" s="2">
        <v>75</v>
      </c>
      <c r="F87" s="2">
        <v>0</v>
      </c>
      <c r="G87" s="3">
        <v>186</v>
      </c>
      <c r="H87" s="4">
        <v>81</v>
      </c>
      <c r="I87" s="5">
        <v>64</v>
      </c>
      <c r="J87" s="2">
        <f t="shared" si="1"/>
        <v>331</v>
      </c>
      <c r="K87" s="12" t="s">
        <v>579</v>
      </c>
      <c r="L87" s="2"/>
      <c r="M87" s="2"/>
      <c r="N87" s="2"/>
      <c r="O87" s="2"/>
      <c r="P87" s="10" t="s">
        <v>580</v>
      </c>
    </row>
    <row r="88" ht="51" spans="1:16">
      <c r="A88" s="1" t="s">
        <v>581</v>
      </c>
      <c r="B88" s="817"/>
      <c r="C88" s="2">
        <v>20</v>
      </c>
      <c r="D88" s="2">
        <v>75</v>
      </c>
      <c r="E88" s="2">
        <v>95</v>
      </c>
      <c r="F88" s="2">
        <v>0</v>
      </c>
      <c r="G88" s="3">
        <v>204</v>
      </c>
      <c r="H88" s="4">
        <v>93</v>
      </c>
      <c r="I88" s="5">
        <v>32</v>
      </c>
      <c r="J88" s="2">
        <f t="shared" si="1"/>
        <v>329</v>
      </c>
      <c r="K88" s="12" t="s">
        <v>582</v>
      </c>
      <c r="L88" s="2"/>
      <c r="M88" s="2"/>
      <c r="N88" s="2"/>
      <c r="O88" s="2"/>
      <c r="P88" s="10" t="s">
        <v>583</v>
      </c>
    </row>
    <row r="89" ht="17" spans="1:16">
      <c r="A89" s="1" t="s">
        <v>584</v>
      </c>
      <c r="B89" s="818"/>
      <c r="C89" s="2">
        <v>14</v>
      </c>
      <c r="D89" s="2">
        <v>69</v>
      </c>
      <c r="E89" s="2">
        <v>100</v>
      </c>
      <c r="F89" s="2">
        <v>4</v>
      </c>
      <c r="G89" s="3">
        <v>193</v>
      </c>
      <c r="H89" s="4">
        <v>101</v>
      </c>
      <c r="I89" s="5">
        <v>26</v>
      </c>
      <c r="J89" s="2">
        <f t="shared" si="1"/>
        <v>320</v>
      </c>
      <c r="K89" s="2"/>
      <c r="L89" s="17"/>
      <c r="M89" s="2"/>
      <c r="N89" s="2"/>
      <c r="O89" s="2"/>
      <c r="P89" s="10"/>
    </row>
    <row r="90" ht="84" spans="1:16">
      <c r="A90" s="1" t="s">
        <v>585</v>
      </c>
      <c r="B90" s="819"/>
      <c r="C90" s="2">
        <v>0</v>
      </c>
      <c r="D90" s="2">
        <v>48</v>
      </c>
      <c r="E90" s="2">
        <v>100</v>
      </c>
      <c r="F90" s="2">
        <v>34</v>
      </c>
      <c r="G90" s="3">
        <v>185</v>
      </c>
      <c r="H90" s="4">
        <v>117</v>
      </c>
      <c r="I90" s="5">
        <v>0</v>
      </c>
      <c r="J90" s="2">
        <f t="shared" si="1"/>
        <v>302</v>
      </c>
      <c r="K90" s="2"/>
      <c r="L90" s="2"/>
      <c r="M90" s="12" t="s">
        <v>586</v>
      </c>
      <c r="N90" s="2"/>
      <c r="O90" s="9"/>
      <c r="P90" s="10" t="s">
        <v>587</v>
      </c>
    </row>
    <row r="91" ht="34" spans="1:16">
      <c r="A91" s="1" t="s">
        <v>588</v>
      </c>
      <c r="B91" s="820"/>
      <c r="C91" s="2">
        <v>15</v>
      </c>
      <c r="D91" s="2">
        <v>90</v>
      </c>
      <c r="E91" s="2">
        <v>100</v>
      </c>
      <c r="F91" s="2">
        <v>0</v>
      </c>
      <c r="G91" s="3">
        <v>210</v>
      </c>
      <c r="H91" s="4">
        <v>57</v>
      </c>
      <c r="I91" s="5">
        <v>24</v>
      </c>
      <c r="J91" s="2">
        <f t="shared" si="1"/>
        <v>291</v>
      </c>
      <c r="K91" s="12"/>
      <c r="L91" s="2"/>
      <c r="M91" s="2"/>
      <c r="N91" s="2"/>
      <c r="O91" s="2"/>
      <c r="P91" s="10" t="s">
        <v>589</v>
      </c>
    </row>
    <row r="92" ht="17" spans="1:16">
      <c r="A92" s="1" t="s">
        <v>590</v>
      </c>
      <c r="B92" s="821"/>
      <c r="C92" s="2">
        <v>35</v>
      </c>
      <c r="D92" s="2">
        <v>85</v>
      </c>
      <c r="E92" s="2">
        <v>80</v>
      </c>
      <c r="F92" s="2">
        <v>10</v>
      </c>
      <c r="G92" s="3">
        <v>166</v>
      </c>
      <c r="H92" s="4">
        <v>64</v>
      </c>
      <c r="I92" s="5">
        <v>54</v>
      </c>
      <c r="J92" s="2">
        <f t="shared" si="1"/>
        <v>284</v>
      </c>
      <c r="K92" s="12"/>
      <c r="L92" s="2"/>
      <c r="M92" s="2"/>
      <c r="N92" s="2"/>
      <c r="O92" s="2"/>
      <c r="P92" s="10" t="s">
        <v>591</v>
      </c>
    </row>
    <row r="93" ht="68" spans="1:16">
      <c r="A93" s="1" t="s">
        <v>592</v>
      </c>
      <c r="B93" s="822"/>
      <c r="C93" s="2">
        <v>0</v>
      </c>
      <c r="D93" s="2">
        <v>81</v>
      </c>
      <c r="E93" s="2">
        <v>100</v>
      </c>
      <c r="F93" s="2">
        <v>20</v>
      </c>
      <c r="G93" s="3">
        <v>203</v>
      </c>
      <c r="H93" s="4">
        <v>70</v>
      </c>
      <c r="I93" s="794">
        <v>1</v>
      </c>
      <c r="J93" s="2">
        <f t="shared" si="1"/>
        <v>274</v>
      </c>
      <c r="K93" s="2"/>
      <c r="L93" s="2"/>
      <c r="M93" s="2"/>
      <c r="N93" s="14"/>
      <c r="O93" s="9"/>
      <c r="P93" s="10" t="s">
        <v>593</v>
      </c>
    </row>
    <row r="94" ht="34" spans="1:16">
      <c r="A94" s="232" t="s">
        <v>594</v>
      </c>
      <c r="B94" s="823"/>
      <c r="C94" s="2">
        <v>40</v>
      </c>
      <c r="D94" s="2">
        <v>75</v>
      </c>
      <c r="E94" s="2">
        <v>100</v>
      </c>
      <c r="F94" s="2">
        <v>10</v>
      </c>
      <c r="G94" s="3">
        <v>159</v>
      </c>
      <c r="H94" s="4">
        <v>82</v>
      </c>
      <c r="I94" s="5">
        <v>33</v>
      </c>
      <c r="J94" s="2">
        <f t="shared" si="1"/>
        <v>274</v>
      </c>
      <c r="K94" s="12"/>
      <c r="L94" s="2"/>
      <c r="M94" s="2"/>
      <c r="N94" s="2"/>
      <c r="O94" s="2"/>
      <c r="P94" s="10" t="s">
        <v>595</v>
      </c>
    </row>
  </sheetData>
  <mergeCells count="2">
    <mergeCell ref="C1:F1"/>
    <mergeCell ref="G1:I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105"/>
  <sheetViews>
    <sheetView zoomScale="71" zoomScaleNormal="71" workbookViewId="0">
      <pane xSplit="2" ySplit="1" topLeftCell="C2" activePane="bottomRight" state="frozen"/>
      <selection/>
      <selection pane="topRight"/>
      <selection pane="bottomLeft"/>
      <selection pane="bottomRight" activeCell="A2" sqref="A2"/>
    </sheetView>
  </sheetViews>
  <sheetFormatPr defaultColWidth="9" defaultRowHeight="16.8"/>
  <cols>
    <col min="1" max="1" width="9" style="350" customWidth="1"/>
    <col min="2" max="2" width="8.88392857142857" style="351"/>
    <col min="3" max="3" width="4.55357142857143" style="351" customWidth="1"/>
    <col min="4" max="4" width="4.4375" style="351" customWidth="1"/>
    <col min="5" max="5" width="4.55357142857143" style="351" customWidth="1"/>
    <col min="6" max="6" width="4.22321428571429" style="351" customWidth="1"/>
    <col min="7" max="7" width="5.4375" style="352" customWidth="1"/>
    <col min="8" max="8" width="5" style="353" customWidth="1"/>
    <col min="9" max="9" width="4.33035714285714" style="354" customWidth="1"/>
    <col min="10" max="10" width="5" style="351" customWidth="1"/>
    <col min="11" max="11" width="15.7767857142857" style="351" customWidth="1"/>
    <col min="12" max="12" width="12.6607142857143" style="351" customWidth="1"/>
    <col min="13" max="13" width="14" style="351" customWidth="1"/>
    <col min="14" max="14" width="12.1071428571429" style="351" customWidth="1"/>
    <col min="15" max="15" width="8.88392857142857" style="351"/>
    <col min="16" max="16" width="188" style="355" customWidth="1"/>
    <col min="17" max="16384" width="8.88392857142857" style="351"/>
  </cols>
  <sheetData>
    <row r="1" s="350" customFormat="1" ht="51" spans="1:16">
      <c r="A1" s="1" t="s">
        <v>0</v>
      </c>
      <c r="B1" s="1" t="s">
        <v>1</v>
      </c>
      <c r="C1" s="1" t="s">
        <v>2</v>
      </c>
      <c r="D1" s="1"/>
      <c r="E1" s="1"/>
      <c r="F1" s="1"/>
      <c r="G1" s="1" t="s">
        <v>3</v>
      </c>
      <c r="H1" s="1"/>
      <c r="I1" s="1"/>
      <c r="J1" s="1"/>
      <c r="K1" s="1" t="s">
        <v>4</v>
      </c>
      <c r="L1" s="1" t="s">
        <v>5</v>
      </c>
      <c r="M1" s="1" t="s">
        <v>6</v>
      </c>
      <c r="N1" s="1" t="s">
        <v>7</v>
      </c>
      <c r="O1" s="1" t="s">
        <v>8</v>
      </c>
      <c r="P1" s="10" t="s">
        <v>9</v>
      </c>
    </row>
    <row r="2" ht="17" spans="1:16">
      <c r="A2" s="1" t="s">
        <v>0</v>
      </c>
      <c r="B2" s="2"/>
      <c r="C2" s="2" t="s">
        <v>10</v>
      </c>
      <c r="D2" s="2" t="s">
        <v>11</v>
      </c>
      <c r="E2" s="2" t="s">
        <v>161</v>
      </c>
      <c r="F2" s="2" t="s">
        <v>13</v>
      </c>
      <c r="G2" s="3" t="s">
        <v>14</v>
      </c>
      <c r="H2" s="4" t="s">
        <v>15</v>
      </c>
      <c r="I2" s="5" t="s">
        <v>16</v>
      </c>
      <c r="J2" s="2" t="s">
        <v>17</v>
      </c>
      <c r="K2" s="12"/>
      <c r="L2" s="2"/>
      <c r="M2" s="2"/>
      <c r="N2" s="2"/>
      <c r="O2" s="2"/>
      <c r="P2" s="10"/>
    </row>
    <row r="3" ht="34" spans="1:16">
      <c r="A3" s="1" t="s">
        <v>596</v>
      </c>
      <c r="B3" s="627"/>
      <c r="C3" s="2">
        <v>0</v>
      </c>
      <c r="D3" s="2">
        <v>0</v>
      </c>
      <c r="E3" s="2">
        <v>30</v>
      </c>
      <c r="F3" s="2">
        <v>0</v>
      </c>
      <c r="G3" s="3">
        <v>255</v>
      </c>
      <c r="H3" s="4">
        <v>251</v>
      </c>
      <c r="I3" s="5">
        <v>199</v>
      </c>
      <c r="J3" s="2">
        <f t="shared" ref="J3:J38" si="0">G3+H3+I3</f>
        <v>705</v>
      </c>
      <c r="K3" s="12"/>
      <c r="L3" s="2"/>
      <c r="M3" s="2"/>
      <c r="N3" s="2"/>
      <c r="O3" s="2"/>
      <c r="P3" s="10" t="s">
        <v>597</v>
      </c>
    </row>
    <row r="4" ht="17" spans="1:16">
      <c r="A4" s="1" t="s">
        <v>598</v>
      </c>
      <c r="B4" s="628"/>
      <c r="C4" s="2">
        <v>3</v>
      </c>
      <c r="D4" s="2">
        <v>8</v>
      </c>
      <c r="E4" s="2">
        <v>30</v>
      </c>
      <c r="F4" s="2">
        <v>0</v>
      </c>
      <c r="G4" s="3">
        <v>249</v>
      </c>
      <c r="H4" s="4">
        <v>236</v>
      </c>
      <c r="I4" s="5">
        <v>195</v>
      </c>
      <c r="J4" s="2">
        <f t="shared" si="0"/>
        <v>680</v>
      </c>
      <c r="K4" s="2"/>
      <c r="L4" s="17"/>
      <c r="M4" s="2"/>
      <c r="N4" s="2"/>
      <c r="O4" s="2"/>
      <c r="P4" s="10"/>
    </row>
    <row r="5" ht="17" spans="1:16">
      <c r="A5" s="1" t="s">
        <v>599</v>
      </c>
      <c r="B5" s="629"/>
      <c r="C5" s="2">
        <v>5</v>
      </c>
      <c r="D5" s="2">
        <v>11</v>
      </c>
      <c r="E5" s="2">
        <v>22</v>
      </c>
      <c r="F5" s="2">
        <v>0</v>
      </c>
      <c r="G5" s="3">
        <v>242</v>
      </c>
      <c r="H5" s="4">
        <v>230</v>
      </c>
      <c r="I5" s="5">
        <v>206</v>
      </c>
      <c r="J5" s="2">
        <f t="shared" si="0"/>
        <v>678</v>
      </c>
      <c r="K5" s="2"/>
      <c r="L5" s="17"/>
      <c r="M5" s="2"/>
      <c r="N5" s="2"/>
      <c r="O5" s="2"/>
      <c r="P5" s="10"/>
    </row>
    <row r="6" ht="17" spans="1:16">
      <c r="A6" s="1" t="s">
        <v>600</v>
      </c>
      <c r="B6" s="630"/>
      <c r="C6" s="2">
        <v>3</v>
      </c>
      <c r="D6" s="2">
        <v>10</v>
      </c>
      <c r="E6" s="2">
        <v>31</v>
      </c>
      <c r="F6" s="2">
        <v>0</v>
      </c>
      <c r="G6" s="3">
        <v>248</v>
      </c>
      <c r="H6" s="4">
        <v>232</v>
      </c>
      <c r="I6" s="5">
        <v>193</v>
      </c>
      <c r="J6" s="2">
        <f t="shared" si="0"/>
        <v>673</v>
      </c>
      <c r="K6" s="2"/>
      <c r="L6" s="17"/>
      <c r="M6" s="2"/>
      <c r="N6" s="2"/>
      <c r="O6" s="2"/>
      <c r="P6" s="10"/>
    </row>
    <row r="7" ht="17" spans="1:16">
      <c r="A7" s="1" t="s">
        <v>601</v>
      </c>
      <c r="B7" s="631"/>
      <c r="C7" s="2">
        <v>10</v>
      </c>
      <c r="D7" s="2">
        <v>5</v>
      </c>
      <c r="E7" s="2">
        <v>30</v>
      </c>
      <c r="F7" s="2">
        <v>0</v>
      </c>
      <c r="G7" s="3">
        <v>236</v>
      </c>
      <c r="H7" s="4">
        <v>235</v>
      </c>
      <c r="I7" s="5">
        <v>194</v>
      </c>
      <c r="J7" s="2">
        <f t="shared" si="0"/>
        <v>665</v>
      </c>
      <c r="K7" s="12"/>
      <c r="L7" s="2"/>
      <c r="M7" s="2"/>
      <c r="N7" s="2"/>
      <c r="O7" s="2"/>
      <c r="P7" s="10" t="s">
        <v>602</v>
      </c>
    </row>
    <row r="8" ht="34" spans="1:16">
      <c r="A8" s="1" t="s">
        <v>603</v>
      </c>
      <c r="B8" s="632"/>
      <c r="C8" s="2">
        <v>5</v>
      </c>
      <c r="D8" s="2">
        <v>5</v>
      </c>
      <c r="E8" s="2">
        <v>40</v>
      </c>
      <c r="F8" s="2">
        <v>0</v>
      </c>
      <c r="G8" s="3">
        <v>247</v>
      </c>
      <c r="H8" s="4">
        <v>238</v>
      </c>
      <c r="I8" s="5">
        <v>173</v>
      </c>
      <c r="J8" s="2">
        <f t="shared" si="0"/>
        <v>658</v>
      </c>
      <c r="K8" s="12"/>
      <c r="L8" s="2"/>
      <c r="M8" s="2"/>
      <c r="N8" s="2"/>
      <c r="O8" s="2"/>
      <c r="P8" s="10" t="s">
        <v>604</v>
      </c>
    </row>
    <row r="9" ht="34" spans="1:16">
      <c r="A9" s="1" t="s">
        <v>605</v>
      </c>
      <c r="B9" s="633"/>
      <c r="C9" s="2">
        <v>0</v>
      </c>
      <c r="D9" s="2">
        <v>0</v>
      </c>
      <c r="E9" s="2">
        <v>50</v>
      </c>
      <c r="F9" s="2">
        <v>0</v>
      </c>
      <c r="G9" s="3">
        <v>255</v>
      </c>
      <c r="H9" s="4">
        <v>247</v>
      </c>
      <c r="I9" s="5">
        <v>153</v>
      </c>
      <c r="J9" s="2">
        <f t="shared" si="0"/>
        <v>655</v>
      </c>
      <c r="K9" s="12" t="s">
        <v>606</v>
      </c>
      <c r="L9" s="634"/>
      <c r="M9" s="2"/>
      <c r="N9" s="2"/>
      <c r="O9" s="2"/>
      <c r="P9" s="10" t="s">
        <v>607</v>
      </c>
    </row>
    <row r="10" ht="17" spans="1:16">
      <c r="A10" s="1" t="s">
        <v>608</v>
      </c>
      <c r="B10" s="635"/>
      <c r="C10" s="2">
        <v>1</v>
      </c>
      <c r="D10" s="2">
        <v>15</v>
      </c>
      <c r="E10" s="2">
        <v>38</v>
      </c>
      <c r="F10" s="2">
        <v>0</v>
      </c>
      <c r="G10" s="3">
        <v>248</v>
      </c>
      <c r="H10" s="4">
        <v>224</v>
      </c>
      <c r="I10" s="5">
        <v>176</v>
      </c>
      <c r="J10" s="2">
        <f t="shared" si="0"/>
        <v>648</v>
      </c>
      <c r="K10" s="2"/>
      <c r="L10" s="17"/>
      <c r="M10" s="2"/>
      <c r="N10" s="2"/>
      <c r="O10" s="2"/>
      <c r="P10" s="10"/>
    </row>
    <row r="11" ht="17" spans="1:16">
      <c r="A11" s="1" t="s">
        <v>609</v>
      </c>
      <c r="B11" s="636"/>
      <c r="C11" s="2">
        <v>2</v>
      </c>
      <c r="D11" s="2">
        <v>16</v>
      </c>
      <c r="E11" s="2">
        <v>39</v>
      </c>
      <c r="F11" s="2">
        <v>0</v>
      </c>
      <c r="G11" s="3">
        <v>246</v>
      </c>
      <c r="H11" s="4">
        <v>222</v>
      </c>
      <c r="I11" s="5">
        <v>173</v>
      </c>
      <c r="J11" s="2">
        <f t="shared" si="0"/>
        <v>641</v>
      </c>
      <c r="K11" s="2"/>
      <c r="L11" s="17"/>
      <c r="M11" s="2"/>
      <c r="N11" s="2"/>
      <c r="O11" s="2"/>
      <c r="P11" s="10"/>
    </row>
    <row r="12" ht="17" spans="1:16">
      <c r="A12" s="1" t="s">
        <v>610</v>
      </c>
      <c r="B12" s="637"/>
      <c r="C12" s="2">
        <v>7</v>
      </c>
      <c r="D12" s="2">
        <v>10</v>
      </c>
      <c r="E12" s="2">
        <v>35</v>
      </c>
      <c r="F12" s="2">
        <v>0</v>
      </c>
      <c r="G12" s="3">
        <v>238</v>
      </c>
      <c r="H12" s="4">
        <v>222</v>
      </c>
      <c r="I12" s="5">
        <v>176</v>
      </c>
      <c r="J12" s="2">
        <f t="shared" si="0"/>
        <v>636</v>
      </c>
      <c r="K12" s="2"/>
      <c r="L12" s="2"/>
      <c r="M12" s="12"/>
      <c r="N12" s="2"/>
      <c r="O12" s="2"/>
      <c r="P12" s="10" t="s">
        <v>611</v>
      </c>
    </row>
    <row r="13" ht="17" spans="1:16">
      <c r="A13" s="1" t="s">
        <v>612</v>
      </c>
      <c r="B13" s="638"/>
      <c r="C13" s="2">
        <v>10</v>
      </c>
      <c r="D13" s="2">
        <v>10</v>
      </c>
      <c r="E13" s="2">
        <v>40</v>
      </c>
      <c r="F13" s="2">
        <v>0</v>
      </c>
      <c r="G13" s="3">
        <v>235</v>
      </c>
      <c r="H13" s="4">
        <v>225</v>
      </c>
      <c r="I13" s="5">
        <v>169</v>
      </c>
      <c r="J13" s="2">
        <f t="shared" si="0"/>
        <v>629</v>
      </c>
      <c r="K13" s="12" t="s">
        <v>60</v>
      </c>
      <c r="L13" s="2"/>
      <c r="M13" s="2"/>
      <c r="N13" s="2"/>
      <c r="O13" s="2"/>
      <c r="P13" s="10" t="s">
        <v>613</v>
      </c>
    </row>
    <row r="14" ht="17" spans="1:16">
      <c r="A14" s="1" t="s">
        <v>614</v>
      </c>
      <c r="B14" s="639"/>
      <c r="C14" s="2">
        <v>3</v>
      </c>
      <c r="D14" s="2">
        <v>16</v>
      </c>
      <c r="E14" s="2">
        <v>50</v>
      </c>
      <c r="F14" s="2">
        <v>0</v>
      </c>
      <c r="G14" s="3">
        <v>247</v>
      </c>
      <c r="H14" s="4">
        <v>222</v>
      </c>
      <c r="I14" s="5">
        <v>152</v>
      </c>
      <c r="J14" s="2">
        <f t="shared" si="0"/>
        <v>621</v>
      </c>
      <c r="K14" s="2"/>
      <c r="L14" s="17"/>
      <c r="M14" s="2"/>
      <c r="N14" s="2"/>
      <c r="O14" s="2"/>
      <c r="P14" s="10"/>
    </row>
    <row r="15" ht="17" spans="1:16">
      <c r="A15" s="1" t="s">
        <v>615</v>
      </c>
      <c r="B15" s="640"/>
      <c r="C15" s="2">
        <v>6</v>
      </c>
      <c r="D15" s="2">
        <v>0</v>
      </c>
      <c r="E15" s="2">
        <v>67</v>
      </c>
      <c r="F15" s="2">
        <v>0</v>
      </c>
      <c r="G15" s="3">
        <v>250</v>
      </c>
      <c r="H15" s="4">
        <v>255</v>
      </c>
      <c r="I15" s="5">
        <v>114</v>
      </c>
      <c r="J15" s="2">
        <f t="shared" si="0"/>
        <v>619</v>
      </c>
      <c r="K15" s="2"/>
      <c r="L15" s="2"/>
      <c r="M15" s="12"/>
      <c r="N15" s="2"/>
      <c r="O15" s="2"/>
      <c r="P15" s="10" t="s">
        <v>616</v>
      </c>
    </row>
    <row r="16" ht="34" spans="1:16">
      <c r="A16" s="1" t="s">
        <v>617</v>
      </c>
      <c r="B16" s="641"/>
      <c r="C16" s="2">
        <v>1</v>
      </c>
      <c r="D16" s="2">
        <v>17</v>
      </c>
      <c r="E16" s="2">
        <v>50</v>
      </c>
      <c r="F16" s="2">
        <v>0</v>
      </c>
      <c r="G16" s="3">
        <v>247</v>
      </c>
      <c r="H16" s="4">
        <v>218</v>
      </c>
      <c r="I16" s="5">
        <v>148</v>
      </c>
      <c r="J16" s="2">
        <f t="shared" si="0"/>
        <v>613</v>
      </c>
      <c r="K16" s="2"/>
      <c r="L16" s="17"/>
      <c r="M16" s="2"/>
      <c r="N16" s="2"/>
      <c r="O16" s="2"/>
      <c r="P16" s="10"/>
    </row>
    <row r="17" ht="168" spans="1:16">
      <c r="A17" s="1" t="s">
        <v>618</v>
      </c>
      <c r="B17" s="642"/>
      <c r="C17" s="2">
        <v>3</v>
      </c>
      <c r="D17" s="2">
        <v>0</v>
      </c>
      <c r="E17" s="2">
        <v>65</v>
      </c>
      <c r="F17" s="2">
        <v>0</v>
      </c>
      <c r="G17" s="3">
        <v>253</v>
      </c>
      <c r="H17" s="4">
        <v>243</v>
      </c>
      <c r="I17" s="5">
        <v>113</v>
      </c>
      <c r="J17" s="2">
        <f t="shared" si="0"/>
        <v>609</v>
      </c>
      <c r="K17" s="2"/>
      <c r="L17" s="2"/>
      <c r="M17" s="2"/>
      <c r="N17" s="2"/>
      <c r="O17" s="9"/>
      <c r="P17" s="10" t="s">
        <v>619</v>
      </c>
    </row>
    <row r="18" ht="34" spans="1:16">
      <c r="A18" s="1" t="s">
        <v>620</v>
      </c>
      <c r="B18" s="643"/>
      <c r="C18" s="2">
        <v>10</v>
      </c>
      <c r="D18" s="2">
        <v>10</v>
      </c>
      <c r="E18" s="2">
        <v>50</v>
      </c>
      <c r="F18" s="2">
        <v>0</v>
      </c>
      <c r="G18" s="3">
        <v>236</v>
      </c>
      <c r="H18" s="4">
        <v>224</v>
      </c>
      <c r="I18" s="5">
        <v>147</v>
      </c>
      <c r="J18" s="2">
        <f t="shared" si="0"/>
        <v>607</v>
      </c>
      <c r="K18" s="12"/>
      <c r="L18" s="2"/>
      <c r="M18" s="2"/>
      <c r="N18" s="2"/>
      <c r="O18" s="2"/>
      <c r="P18" s="10" t="s">
        <v>621</v>
      </c>
    </row>
    <row r="19" ht="152" spans="1:16">
      <c r="A19" s="1" t="s">
        <v>622</v>
      </c>
      <c r="B19" s="644"/>
      <c r="C19" s="2">
        <v>5</v>
      </c>
      <c r="D19" s="2">
        <v>0</v>
      </c>
      <c r="E19" s="2">
        <v>65</v>
      </c>
      <c r="F19" s="2">
        <v>0</v>
      </c>
      <c r="G19" s="3">
        <v>249</v>
      </c>
      <c r="H19" s="4">
        <v>241</v>
      </c>
      <c r="I19" s="5">
        <v>114</v>
      </c>
      <c r="J19" s="2">
        <f t="shared" si="0"/>
        <v>604</v>
      </c>
      <c r="K19" s="2"/>
      <c r="L19" s="2"/>
      <c r="M19" s="12" t="s">
        <v>623</v>
      </c>
      <c r="N19" s="2"/>
      <c r="O19" s="9"/>
      <c r="P19" s="10" t="s">
        <v>624</v>
      </c>
    </row>
    <row r="20" ht="84" spans="1:16">
      <c r="A20" s="1" t="s">
        <v>625</v>
      </c>
      <c r="B20" s="645"/>
      <c r="C20" s="2">
        <v>0</v>
      </c>
      <c r="D20" s="2">
        <v>5</v>
      </c>
      <c r="E20" s="2">
        <v>65</v>
      </c>
      <c r="F20" s="2">
        <v>0</v>
      </c>
      <c r="G20" s="3">
        <v>255</v>
      </c>
      <c r="H20" s="4">
        <v>238</v>
      </c>
      <c r="I20" s="5">
        <v>111</v>
      </c>
      <c r="J20" s="2">
        <f t="shared" si="0"/>
        <v>604</v>
      </c>
      <c r="K20" s="12" t="s">
        <v>606</v>
      </c>
      <c r="L20" s="2"/>
      <c r="M20" s="12" t="s">
        <v>626</v>
      </c>
      <c r="N20" s="2"/>
      <c r="O20" s="2"/>
      <c r="P20" s="10" t="s">
        <v>627</v>
      </c>
    </row>
    <row r="21" ht="17" spans="1:16">
      <c r="A21" s="1" t="s">
        <v>628</v>
      </c>
      <c r="B21" s="646"/>
      <c r="C21" s="2">
        <v>5</v>
      </c>
      <c r="D21" s="2">
        <v>19</v>
      </c>
      <c r="E21" s="2">
        <v>50</v>
      </c>
      <c r="F21" s="2">
        <v>0</v>
      </c>
      <c r="G21" s="3">
        <v>240</v>
      </c>
      <c r="H21" s="4">
        <v>214</v>
      </c>
      <c r="I21" s="5">
        <v>149</v>
      </c>
      <c r="J21" s="2">
        <f t="shared" si="0"/>
        <v>603</v>
      </c>
      <c r="K21" s="2"/>
      <c r="L21" s="17"/>
      <c r="M21" s="2"/>
      <c r="N21" s="14"/>
      <c r="O21" s="2"/>
      <c r="P21" s="10" t="s">
        <v>629</v>
      </c>
    </row>
    <row r="22" ht="219" spans="1:16">
      <c r="A22" s="1" t="s">
        <v>630</v>
      </c>
      <c r="B22" s="647"/>
      <c r="C22" s="2">
        <v>0</v>
      </c>
      <c r="D22" s="2">
        <v>8</v>
      </c>
      <c r="E22" s="2">
        <v>65</v>
      </c>
      <c r="F22" s="2">
        <v>3</v>
      </c>
      <c r="G22" s="3">
        <v>252</v>
      </c>
      <c r="H22" s="4">
        <v>229</v>
      </c>
      <c r="I22" s="5">
        <v>108</v>
      </c>
      <c r="J22" s="2">
        <f t="shared" si="0"/>
        <v>589</v>
      </c>
      <c r="K22" s="2"/>
      <c r="L22" s="2"/>
      <c r="M22" s="2"/>
      <c r="N22" s="2"/>
      <c r="O22" s="9"/>
      <c r="P22" s="10" t="s">
        <v>631</v>
      </c>
    </row>
    <row r="23" ht="17" spans="1:16">
      <c r="A23" s="1" t="s">
        <v>632</v>
      </c>
      <c r="B23" s="648"/>
      <c r="C23" s="2">
        <v>4</v>
      </c>
      <c r="D23" s="2">
        <v>13</v>
      </c>
      <c r="E23" s="2">
        <v>67</v>
      </c>
      <c r="F23" s="2">
        <v>0</v>
      </c>
      <c r="G23" s="3">
        <v>248</v>
      </c>
      <c r="H23" s="4">
        <v>223</v>
      </c>
      <c r="I23" s="5">
        <v>114</v>
      </c>
      <c r="J23" s="2">
        <f t="shared" si="0"/>
        <v>585</v>
      </c>
      <c r="K23" s="2"/>
      <c r="L23" s="17"/>
      <c r="M23" s="2"/>
      <c r="N23" s="2"/>
      <c r="O23" s="2"/>
      <c r="P23" s="10"/>
    </row>
    <row r="24" ht="17" spans="1:16">
      <c r="A24" s="1" t="s">
        <v>633</v>
      </c>
      <c r="B24" s="649"/>
      <c r="C24" s="2">
        <v>0</v>
      </c>
      <c r="D24" s="2">
        <v>23</v>
      </c>
      <c r="E24" s="2">
        <v>59</v>
      </c>
      <c r="F24" s="2">
        <v>0</v>
      </c>
      <c r="G24" s="3">
        <v>249</v>
      </c>
      <c r="H24" s="4">
        <v>210</v>
      </c>
      <c r="I24" s="5">
        <v>125</v>
      </c>
      <c r="J24" s="2">
        <f t="shared" si="0"/>
        <v>584</v>
      </c>
      <c r="K24" s="2"/>
      <c r="L24" s="17"/>
      <c r="M24" s="2"/>
      <c r="N24" s="2"/>
      <c r="O24" s="2"/>
      <c r="P24" s="10"/>
    </row>
    <row r="25" ht="17" spans="1:16">
      <c r="A25" s="1" t="s">
        <v>634</v>
      </c>
      <c r="B25" s="650"/>
      <c r="C25" s="2">
        <v>5</v>
      </c>
      <c r="D25" s="2">
        <v>14</v>
      </c>
      <c r="E25" s="2">
        <v>68</v>
      </c>
      <c r="F25" s="2">
        <v>1</v>
      </c>
      <c r="G25" s="3">
        <v>248</v>
      </c>
      <c r="H25" s="4">
        <v>223</v>
      </c>
      <c r="I25" s="5">
        <v>112</v>
      </c>
      <c r="J25" s="2">
        <f t="shared" si="0"/>
        <v>583</v>
      </c>
      <c r="K25" s="2"/>
      <c r="L25" s="17"/>
      <c r="M25" s="2"/>
      <c r="N25" s="2"/>
      <c r="O25" s="2"/>
      <c r="P25" s="10"/>
    </row>
    <row r="26" ht="17" spans="1:16">
      <c r="A26" s="1" t="s">
        <v>635</v>
      </c>
      <c r="B26" s="651"/>
      <c r="C26" s="2">
        <v>1</v>
      </c>
      <c r="D26" s="2">
        <v>19</v>
      </c>
      <c r="E26" s="2">
        <v>66</v>
      </c>
      <c r="F26" s="2">
        <v>0</v>
      </c>
      <c r="G26" s="3">
        <v>249</v>
      </c>
      <c r="H26" s="4">
        <v>215</v>
      </c>
      <c r="I26" s="5">
        <v>112</v>
      </c>
      <c r="J26" s="2">
        <f t="shared" si="0"/>
        <v>576</v>
      </c>
      <c r="K26" s="2"/>
      <c r="L26" s="17"/>
      <c r="M26" s="2"/>
      <c r="N26" s="2"/>
      <c r="O26" s="2"/>
      <c r="P26" s="10"/>
    </row>
    <row r="27" ht="17" spans="1:16">
      <c r="A27" s="1" t="s">
        <v>636</v>
      </c>
      <c r="B27" s="652"/>
      <c r="C27" s="2">
        <v>13</v>
      </c>
      <c r="D27" s="2">
        <v>0</v>
      </c>
      <c r="E27" s="2">
        <v>80</v>
      </c>
      <c r="F27" s="2">
        <v>0</v>
      </c>
      <c r="G27" s="3">
        <v>234</v>
      </c>
      <c r="H27" s="4">
        <v>255</v>
      </c>
      <c r="I27" s="5">
        <v>86</v>
      </c>
      <c r="J27" s="2">
        <f t="shared" si="0"/>
        <v>575</v>
      </c>
      <c r="K27" s="2"/>
      <c r="L27" s="2"/>
      <c r="M27" s="12"/>
      <c r="N27" s="2"/>
      <c r="O27" s="2"/>
      <c r="P27" s="10" t="s">
        <v>637</v>
      </c>
    </row>
    <row r="28" ht="17" spans="1:16">
      <c r="A28" s="1" t="s">
        <v>638</v>
      </c>
      <c r="B28" s="653"/>
      <c r="C28" s="2">
        <v>3</v>
      </c>
      <c r="D28" s="2">
        <v>17</v>
      </c>
      <c r="E28" s="2">
        <v>69</v>
      </c>
      <c r="F28" s="2">
        <v>0</v>
      </c>
      <c r="G28" s="3">
        <v>248</v>
      </c>
      <c r="H28" s="4">
        <v>216</v>
      </c>
      <c r="I28" s="5">
        <v>106</v>
      </c>
      <c r="J28" s="2">
        <f t="shared" si="0"/>
        <v>570</v>
      </c>
      <c r="K28" s="2"/>
      <c r="L28" s="17"/>
      <c r="M28" s="2"/>
      <c r="N28" s="2"/>
      <c r="O28" s="2"/>
      <c r="P28" s="10"/>
    </row>
    <row r="29" ht="17" spans="1:16">
      <c r="A29" s="1" t="s">
        <v>639</v>
      </c>
      <c r="B29" s="654"/>
      <c r="C29" s="2">
        <v>15</v>
      </c>
      <c r="D29" s="2">
        <v>15</v>
      </c>
      <c r="E29" s="2">
        <v>55</v>
      </c>
      <c r="F29" s="2">
        <v>0</v>
      </c>
      <c r="G29" s="3">
        <v>225</v>
      </c>
      <c r="H29" s="4">
        <v>211</v>
      </c>
      <c r="I29" s="5">
        <v>132</v>
      </c>
      <c r="J29" s="2">
        <f t="shared" si="0"/>
        <v>568</v>
      </c>
      <c r="K29" s="12"/>
      <c r="L29" s="2"/>
      <c r="M29" s="2"/>
      <c r="N29" s="2"/>
      <c r="O29" s="2"/>
      <c r="P29" s="10" t="s">
        <v>640</v>
      </c>
    </row>
    <row r="30" ht="17" spans="1:16">
      <c r="A30" s="1" t="s">
        <v>641</v>
      </c>
      <c r="B30" s="655"/>
      <c r="C30" s="2">
        <v>0</v>
      </c>
      <c r="D30" s="2">
        <v>15</v>
      </c>
      <c r="E30" s="2">
        <v>70</v>
      </c>
      <c r="F30" s="2">
        <v>0</v>
      </c>
      <c r="G30" s="3">
        <v>254</v>
      </c>
      <c r="H30" s="4">
        <v>220</v>
      </c>
      <c r="I30" s="5">
        <v>94</v>
      </c>
      <c r="J30" s="2">
        <f t="shared" si="0"/>
        <v>568</v>
      </c>
      <c r="K30" s="12"/>
      <c r="L30" s="2"/>
      <c r="M30" s="2"/>
      <c r="N30" s="2"/>
      <c r="O30" s="2"/>
      <c r="P30" s="10" t="s">
        <v>642</v>
      </c>
    </row>
    <row r="31" ht="17" spans="1:16">
      <c r="A31" s="1" t="s">
        <v>643</v>
      </c>
      <c r="B31" s="656"/>
      <c r="C31" s="2">
        <v>1</v>
      </c>
      <c r="D31" s="2">
        <v>21</v>
      </c>
      <c r="E31" s="2">
        <v>70</v>
      </c>
      <c r="F31" s="2">
        <v>0</v>
      </c>
      <c r="G31" s="3">
        <v>249</v>
      </c>
      <c r="H31" s="4">
        <v>211</v>
      </c>
      <c r="I31" s="5">
        <v>103</v>
      </c>
      <c r="J31" s="2">
        <f t="shared" si="0"/>
        <v>563</v>
      </c>
      <c r="K31" s="2"/>
      <c r="L31" s="17"/>
      <c r="M31" s="2"/>
      <c r="N31" s="14"/>
      <c r="O31" s="2"/>
      <c r="P31" s="10" t="s">
        <v>644</v>
      </c>
    </row>
    <row r="32" ht="152" spans="1:16">
      <c r="A32" s="1" t="s">
        <v>645</v>
      </c>
      <c r="B32" s="657"/>
      <c r="C32" s="2">
        <v>0</v>
      </c>
      <c r="D32" s="2">
        <v>16</v>
      </c>
      <c r="E32" s="2">
        <v>71</v>
      </c>
      <c r="F32" s="2">
        <v>0</v>
      </c>
      <c r="G32" s="3">
        <v>254</v>
      </c>
      <c r="H32" s="4">
        <v>218</v>
      </c>
      <c r="I32" s="5">
        <v>90</v>
      </c>
      <c r="J32" s="2">
        <f t="shared" si="0"/>
        <v>562</v>
      </c>
      <c r="K32" s="12" t="s">
        <v>646</v>
      </c>
      <c r="L32" s="2"/>
      <c r="M32" s="2"/>
      <c r="N32" s="2"/>
      <c r="O32" s="9"/>
      <c r="P32" s="10" t="s">
        <v>647</v>
      </c>
    </row>
    <row r="33" ht="17" spans="1:16">
      <c r="A33" s="1" t="s">
        <v>648</v>
      </c>
      <c r="B33" s="658"/>
      <c r="C33" s="2">
        <v>9</v>
      </c>
      <c r="D33" s="2">
        <v>16</v>
      </c>
      <c r="E33" s="2">
        <v>64</v>
      </c>
      <c r="F33" s="2">
        <v>0</v>
      </c>
      <c r="G33" s="3">
        <v>234</v>
      </c>
      <c r="H33" s="4">
        <v>205</v>
      </c>
      <c r="I33" s="5">
        <v>118</v>
      </c>
      <c r="J33" s="2">
        <f t="shared" si="0"/>
        <v>557</v>
      </c>
      <c r="K33" s="2"/>
      <c r="L33" s="2"/>
      <c r="M33" s="12"/>
      <c r="N33" s="2"/>
      <c r="O33" s="2"/>
      <c r="P33" s="10" t="s">
        <v>649</v>
      </c>
    </row>
    <row r="34" ht="202" spans="1:16">
      <c r="A34" s="1" t="s">
        <v>650</v>
      </c>
      <c r="B34" s="659"/>
      <c r="C34" s="2">
        <v>0</v>
      </c>
      <c r="D34" s="2">
        <v>3</v>
      </c>
      <c r="E34" s="2">
        <v>80</v>
      </c>
      <c r="F34" s="2">
        <v>0</v>
      </c>
      <c r="G34" s="3">
        <v>255</v>
      </c>
      <c r="H34" s="4">
        <v>239</v>
      </c>
      <c r="I34" s="5">
        <v>63</v>
      </c>
      <c r="J34" s="2">
        <f t="shared" si="0"/>
        <v>557</v>
      </c>
      <c r="K34" s="12"/>
      <c r="L34" s="2"/>
      <c r="M34" s="2"/>
      <c r="N34" s="2"/>
      <c r="O34" s="9"/>
      <c r="P34" s="10" t="s">
        <v>651</v>
      </c>
    </row>
    <row r="35" ht="17" spans="1:16">
      <c r="A35" s="1" t="s">
        <v>652</v>
      </c>
      <c r="B35" s="660"/>
      <c r="C35" s="2">
        <v>15</v>
      </c>
      <c r="D35" s="2">
        <v>15</v>
      </c>
      <c r="E35" s="2">
        <v>60</v>
      </c>
      <c r="F35" s="2">
        <v>0</v>
      </c>
      <c r="G35" s="3">
        <v>225</v>
      </c>
      <c r="H35" s="4">
        <v>210</v>
      </c>
      <c r="I35" s="5">
        <v>121</v>
      </c>
      <c r="J35" s="2">
        <f t="shared" si="0"/>
        <v>556</v>
      </c>
      <c r="K35" s="12"/>
      <c r="L35" s="2"/>
      <c r="M35" s="2"/>
      <c r="N35" s="2"/>
      <c r="O35" s="2"/>
      <c r="P35" s="10" t="s">
        <v>653</v>
      </c>
    </row>
    <row r="36" ht="17" spans="1:16">
      <c r="A36" s="1" t="s">
        <v>654</v>
      </c>
      <c r="B36" s="661"/>
      <c r="C36" s="2">
        <v>3</v>
      </c>
      <c r="D36" s="2">
        <v>23</v>
      </c>
      <c r="E36" s="2">
        <v>69</v>
      </c>
      <c r="F36" s="2">
        <v>0</v>
      </c>
      <c r="G36" s="3">
        <v>244</v>
      </c>
      <c r="H36" s="4">
        <v>206</v>
      </c>
      <c r="I36" s="5">
        <v>105</v>
      </c>
      <c r="J36" s="2">
        <f t="shared" si="0"/>
        <v>555</v>
      </c>
      <c r="K36" s="2"/>
      <c r="L36" s="17"/>
      <c r="M36" s="2"/>
      <c r="N36" s="2"/>
      <c r="O36" s="2"/>
      <c r="P36" s="10"/>
    </row>
    <row r="37" ht="68" spans="1:16">
      <c r="A37" s="1" t="s">
        <v>655</v>
      </c>
      <c r="B37" s="662"/>
      <c r="C37" s="2">
        <v>5</v>
      </c>
      <c r="D37" s="2">
        <v>25</v>
      </c>
      <c r="E37" s="2">
        <v>65</v>
      </c>
      <c r="F37" s="2">
        <v>0</v>
      </c>
      <c r="G37" s="3">
        <v>242</v>
      </c>
      <c r="H37" s="4">
        <v>200</v>
      </c>
      <c r="I37" s="5">
        <v>103</v>
      </c>
      <c r="J37" s="2">
        <f t="shared" si="0"/>
        <v>545</v>
      </c>
      <c r="K37" s="12"/>
      <c r="L37" s="2"/>
      <c r="M37" s="2"/>
      <c r="N37" s="2"/>
      <c r="O37" s="2"/>
      <c r="P37" s="10" t="s">
        <v>656</v>
      </c>
    </row>
    <row r="38" ht="17" spans="1:16">
      <c r="A38" s="1" t="s">
        <v>657</v>
      </c>
      <c r="B38" s="663"/>
      <c r="C38" s="2">
        <v>10</v>
      </c>
      <c r="D38" s="2">
        <v>27</v>
      </c>
      <c r="E38" s="2">
        <v>59</v>
      </c>
      <c r="F38" s="2">
        <v>1</v>
      </c>
      <c r="G38" s="3">
        <v>226</v>
      </c>
      <c r="H38" s="4">
        <v>193</v>
      </c>
      <c r="I38" s="5">
        <v>124</v>
      </c>
      <c r="J38" s="2">
        <f t="shared" si="0"/>
        <v>543</v>
      </c>
      <c r="K38" s="2"/>
      <c r="L38" s="17"/>
      <c r="M38" s="2"/>
      <c r="N38" s="2"/>
      <c r="O38" s="2"/>
      <c r="P38" s="10"/>
    </row>
    <row r="39" ht="17" spans="1:16">
      <c r="A39" s="1" t="s">
        <v>658</v>
      </c>
      <c r="B39" s="664"/>
      <c r="C39" s="2"/>
      <c r="D39" s="2"/>
      <c r="E39" s="2"/>
      <c r="F39" s="2"/>
      <c r="G39" s="3"/>
      <c r="H39" s="4"/>
      <c r="I39" s="5"/>
      <c r="J39" s="2"/>
      <c r="K39" s="2"/>
      <c r="L39" s="2"/>
      <c r="M39" s="2"/>
      <c r="N39" s="14"/>
      <c r="O39" s="2"/>
      <c r="P39" s="10" t="s">
        <v>659</v>
      </c>
    </row>
    <row r="40" ht="17" spans="1:16">
      <c r="A40" s="1" t="s">
        <v>660</v>
      </c>
      <c r="B40" s="665"/>
      <c r="C40" s="2">
        <v>15</v>
      </c>
      <c r="D40" s="2">
        <v>20</v>
      </c>
      <c r="E40" s="2">
        <v>66</v>
      </c>
      <c r="F40" s="2">
        <v>2</v>
      </c>
      <c r="G40" s="3">
        <v>221</v>
      </c>
      <c r="H40" s="4">
        <v>200</v>
      </c>
      <c r="I40" s="5">
        <v>113</v>
      </c>
      <c r="J40" s="2">
        <f t="shared" ref="J40:J71" si="1">G40+H40+I40</f>
        <v>534</v>
      </c>
      <c r="K40" s="2"/>
      <c r="L40" s="17"/>
      <c r="M40" s="2"/>
      <c r="N40" s="2"/>
      <c r="O40" s="2"/>
      <c r="P40" s="10"/>
    </row>
    <row r="41" ht="17" spans="1:16">
      <c r="A41" s="1" t="s">
        <v>661</v>
      </c>
      <c r="B41" s="666"/>
      <c r="C41" s="2">
        <v>2</v>
      </c>
      <c r="D41" s="2">
        <v>16</v>
      </c>
      <c r="E41" s="2">
        <v>84</v>
      </c>
      <c r="F41" s="2">
        <v>0</v>
      </c>
      <c r="G41" s="3">
        <v>251</v>
      </c>
      <c r="H41" s="4">
        <v>218</v>
      </c>
      <c r="I41" s="5">
        <v>65</v>
      </c>
      <c r="J41" s="2">
        <f t="shared" si="1"/>
        <v>534</v>
      </c>
      <c r="K41" s="2"/>
      <c r="L41" s="17"/>
      <c r="M41" s="2"/>
      <c r="N41" s="2"/>
      <c r="O41" s="2"/>
      <c r="P41" s="10"/>
    </row>
    <row r="42" ht="51" spans="1:16">
      <c r="A42" s="1" t="s">
        <v>662</v>
      </c>
      <c r="B42" s="667"/>
      <c r="C42" s="2">
        <v>10</v>
      </c>
      <c r="D42" s="2">
        <v>15</v>
      </c>
      <c r="E42" s="2">
        <v>75</v>
      </c>
      <c r="F42" s="2">
        <v>0</v>
      </c>
      <c r="G42" s="3">
        <v>236</v>
      </c>
      <c r="H42" s="4">
        <v>212</v>
      </c>
      <c r="I42" s="5">
        <v>82</v>
      </c>
      <c r="J42" s="2">
        <f t="shared" si="1"/>
        <v>530</v>
      </c>
      <c r="K42" s="12"/>
      <c r="L42" s="2"/>
      <c r="M42" s="2"/>
      <c r="N42" s="2"/>
      <c r="O42" s="2"/>
      <c r="P42" s="10" t="s">
        <v>663</v>
      </c>
    </row>
    <row r="43" ht="17" spans="1:16">
      <c r="A43" s="1" t="s">
        <v>664</v>
      </c>
      <c r="B43" s="668"/>
      <c r="C43" s="2">
        <v>0</v>
      </c>
      <c r="D43" s="2">
        <v>20</v>
      </c>
      <c r="E43" s="2">
        <v>87</v>
      </c>
      <c r="F43" s="2">
        <v>0</v>
      </c>
      <c r="G43" s="3">
        <v>252</v>
      </c>
      <c r="H43" s="4">
        <v>211</v>
      </c>
      <c r="I43" s="5">
        <v>55</v>
      </c>
      <c r="J43" s="2">
        <f t="shared" si="1"/>
        <v>518</v>
      </c>
      <c r="K43" s="2"/>
      <c r="L43" s="17"/>
      <c r="M43" s="2"/>
      <c r="N43" s="14"/>
      <c r="O43" s="2"/>
      <c r="P43" s="10" t="s">
        <v>665</v>
      </c>
    </row>
    <row r="44" ht="17" spans="1:16">
      <c r="A44" s="1" t="s">
        <v>666</v>
      </c>
      <c r="B44" s="669"/>
      <c r="C44" s="2">
        <v>19</v>
      </c>
      <c r="D44" s="2">
        <v>9</v>
      </c>
      <c r="E44" s="2">
        <v>84</v>
      </c>
      <c r="F44" s="2">
        <v>1</v>
      </c>
      <c r="G44" s="3">
        <v>226</v>
      </c>
      <c r="H44" s="4">
        <v>216</v>
      </c>
      <c r="I44" s="5">
        <v>73</v>
      </c>
      <c r="J44" s="2">
        <f t="shared" si="1"/>
        <v>515</v>
      </c>
      <c r="K44" s="2"/>
      <c r="L44" s="17"/>
      <c r="M44" s="2"/>
      <c r="N44" s="2"/>
      <c r="O44" s="2"/>
      <c r="P44" s="10"/>
    </row>
    <row r="45" ht="17" spans="1:16">
      <c r="A45" s="1" t="s">
        <v>667</v>
      </c>
      <c r="B45" s="670"/>
      <c r="C45" s="2">
        <v>8</v>
      </c>
      <c r="D45" s="2">
        <v>19</v>
      </c>
      <c r="E45" s="2">
        <v>84</v>
      </c>
      <c r="F45" s="2">
        <v>1</v>
      </c>
      <c r="G45" s="3">
        <v>238</v>
      </c>
      <c r="H45" s="4">
        <v>208</v>
      </c>
      <c r="I45" s="5">
        <v>69</v>
      </c>
      <c r="J45" s="2">
        <f t="shared" si="1"/>
        <v>515</v>
      </c>
      <c r="K45" s="2"/>
      <c r="L45" s="17"/>
      <c r="M45" s="2"/>
      <c r="N45" s="2"/>
      <c r="O45" s="2"/>
      <c r="P45" s="10"/>
    </row>
    <row r="46" ht="168" spans="1:16">
      <c r="A46" s="1" t="s">
        <v>668</v>
      </c>
      <c r="B46" s="671"/>
      <c r="C46" s="2">
        <v>0</v>
      </c>
      <c r="D46" s="2">
        <v>35</v>
      </c>
      <c r="E46" s="2">
        <v>72</v>
      </c>
      <c r="F46" s="2">
        <v>0</v>
      </c>
      <c r="G46" s="3">
        <v>248</v>
      </c>
      <c r="H46" s="4">
        <v>183</v>
      </c>
      <c r="I46" s="5">
        <v>81</v>
      </c>
      <c r="J46" s="2">
        <f t="shared" si="1"/>
        <v>512</v>
      </c>
      <c r="K46" s="12" t="s">
        <v>669</v>
      </c>
      <c r="L46" s="2"/>
      <c r="M46" s="2"/>
      <c r="N46" s="2"/>
      <c r="O46" s="9"/>
      <c r="P46" s="10" t="s">
        <v>670</v>
      </c>
    </row>
    <row r="47" ht="17" spans="1:16">
      <c r="A47" s="1" t="s">
        <v>671</v>
      </c>
      <c r="B47" s="672"/>
      <c r="C47" s="2">
        <v>1</v>
      </c>
      <c r="D47" s="2">
        <v>31</v>
      </c>
      <c r="E47" s="2">
        <v>79</v>
      </c>
      <c r="F47" s="2">
        <v>0</v>
      </c>
      <c r="G47" s="3">
        <v>243</v>
      </c>
      <c r="H47" s="4">
        <v>191</v>
      </c>
      <c r="I47" s="5">
        <v>76</v>
      </c>
      <c r="J47" s="2">
        <f t="shared" si="1"/>
        <v>510</v>
      </c>
      <c r="K47" s="2"/>
      <c r="L47" s="17"/>
      <c r="M47" s="2"/>
      <c r="N47" s="2"/>
      <c r="O47" s="2"/>
      <c r="P47" s="10"/>
    </row>
    <row r="48" ht="17" spans="1:16">
      <c r="A48" s="1" t="s">
        <v>672</v>
      </c>
      <c r="B48" s="673"/>
      <c r="C48" s="2">
        <v>0</v>
      </c>
      <c r="D48" s="2">
        <v>23</v>
      </c>
      <c r="E48" s="2">
        <v>88</v>
      </c>
      <c r="F48" s="2">
        <v>0</v>
      </c>
      <c r="G48" s="3">
        <v>251</v>
      </c>
      <c r="H48" s="4">
        <v>205</v>
      </c>
      <c r="I48" s="5">
        <v>49</v>
      </c>
      <c r="J48" s="2">
        <f t="shared" si="1"/>
        <v>505</v>
      </c>
      <c r="K48" s="2"/>
      <c r="L48" s="17"/>
      <c r="M48" s="2"/>
      <c r="N48" s="2"/>
      <c r="O48" s="2"/>
      <c r="P48" s="10"/>
    </row>
    <row r="49" ht="17" spans="1:16">
      <c r="A49" s="1" t="s">
        <v>673</v>
      </c>
      <c r="B49" s="674"/>
      <c r="C49" s="2">
        <v>5</v>
      </c>
      <c r="D49" s="2">
        <v>26</v>
      </c>
      <c r="E49" s="2">
        <v>85</v>
      </c>
      <c r="F49" s="2">
        <v>0</v>
      </c>
      <c r="G49" s="3">
        <v>242</v>
      </c>
      <c r="H49" s="4">
        <v>190</v>
      </c>
      <c r="I49" s="5">
        <v>69</v>
      </c>
      <c r="J49" s="2">
        <f t="shared" si="1"/>
        <v>501</v>
      </c>
      <c r="K49" s="2"/>
      <c r="L49" s="2"/>
      <c r="M49" s="12"/>
      <c r="N49" s="2"/>
      <c r="O49" s="2"/>
      <c r="P49" s="10" t="s">
        <v>674</v>
      </c>
    </row>
    <row r="50" ht="17" spans="1:16">
      <c r="A50" s="1" t="s">
        <v>675</v>
      </c>
      <c r="B50" s="675"/>
      <c r="C50" s="2">
        <v>0</v>
      </c>
      <c r="D50" s="2">
        <v>27</v>
      </c>
      <c r="E50" s="2">
        <v>88</v>
      </c>
      <c r="F50" s="2">
        <v>0</v>
      </c>
      <c r="G50" s="3">
        <v>251</v>
      </c>
      <c r="H50" s="4">
        <v>200</v>
      </c>
      <c r="I50" s="5">
        <v>47</v>
      </c>
      <c r="J50" s="2">
        <f t="shared" si="1"/>
        <v>498</v>
      </c>
      <c r="K50" s="2"/>
      <c r="L50" s="17"/>
      <c r="M50" s="2"/>
      <c r="N50" s="14"/>
      <c r="O50" s="2"/>
      <c r="P50" s="10" t="s">
        <v>676</v>
      </c>
    </row>
    <row r="51" ht="17" spans="1:16">
      <c r="A51" s="1" t="s">
        <v>677</v>
      </c>
      <c r="B51" s="676"/>
      <c r="C51" s="2">
        <v>1</v>
      </c>
      <c r="D51" s="2">
        <v>18</v>
      </c>
      <c r="E51" s="2">
        <v>94</v>
      </c>
      <c r="F51" s="2">
        <v>0</v>
      </c>
      <c r="G51" s="3">
        <v>254</v>
      </c>
      <c r="H51" s="4">
        <v>215</v>
      </c>
      <c r="I51" s="5">
        <v>26</v>
      </c>
      <c r="J51" s="2">
        <f t="shared" si="1"/>
        <v>495</v>
      </c>
      <c r="K51" s="2"/>
      <c r="L51" s="17"/>
      <c r="M51" s="2"/>
      <c r="N51" s="2"/>
      <c r="O51" s="2"/>
      <c r="P51" s="10"/>
    </row>
    <row r="52" ht="17" spans="1:16">
      <c r="A52" s="1" t="s">
        <v>678</v>
      </c>
      <c r="B52" s="677"/>
      <c r="C52" s="2">
        <v>25</v>
      </c>
      <c r="D52" s="2">
        <v>30</v>
      </c>
      <c r="E52" s="2">
        <v>60</v>
      </c>
      <c r="F52" s="2">
        <v>0</v>
      </c>
      <c r="G52" s="3">
        <v>202</v>
      </c>
      <c r="H52" s="4">
        <v>178</v>
      </c>
      <c r="I52" s="5">
        <v>114</v>
      </c>
      <c r="J52" s="2">
        <f t="shared" si="1"/>
        <v>494</v>
      </c>
      <c r="K52" s="12"/>
      <c r="L52" s="2"/>
      <c r="M52" s="2"/>
      <c r="N52" s="2"/>
      <c r="O52" s="2"/>
      <c r="P52" s="10" t="s">
        <v>679</v>
      </c>
    </row>
    <row r="53" ht="17" spans="1:16">
      <c r="A53" s="1" t="s">
        <v>680</v>
      </c>
      <c r="B53" s="678"/>
      <c r="C53" s="2">
        <v>7</v>
      </c>
      <c r="D53" s="2">
        <v>32</v>
      </c>
      <c r="E53" s="2">
        <v>78</v>
      </c>
      <c r="F53" s="2">
        <v>1</v>
      </c>
      <c r="G53" s="3">
        <v>229</v>
      </c>
      <c r="H53" s="4">
        <v>183</v>
      </c>
      <c r="I53" s="5">
        <v>81</v>
      </c>
      <c r="J53" s="2">
        <f t="shared" si="1"/>
        <v>493</v>
      </c>
      <c r="K53" s="2"/>
      <c r="L53" s="17"/>
      <c r="M53" s="2"/>
      <c r="N53" s="2"/>
      <c r="O53" s="2"/>
      <c r="P53" s="10"/>
    </row>
    <row r="54" ht="236" spans="1:16">
      <c r="A54" s="1" t="s">
        <v>681</v>
      </c>
      <c r="B54" s="679"/>
      <c r="C54" s="2">
        <v>0</v>
      </c>
      <c r="D54" s="2">
        <v>50</v>
      </c>
      <c r="E54" s="2">
        <v>70</v>
      </c>
      <c r="F54" s="2">
        <v>5</v>
      </c>
      <c r="G54" s="3">
        <v>236</v>
      </c>
      <c r="H54" s="4">
        <v>179</v>
      </c>
      <c r="I54" s="5">
        <v>77</v>
      </c>
      <c r="J54" s="2">
        <f t="shared" si="1"/>
        <v>492</v>
      </c>
      <c r="K54" s="12" t="s">
        <v>682</v>
      </c>
      <c r="L54" s="2"/>
      <c r="M54" s="1"/>
      <c r="N54" s="14"/>
      <c r="O54" s="2"/>
      <c r="P54" s="6" t="s">
        <v>683</v>
      </c>
    </row>
    <row r="55" ht="17" spans="1:16">
      <c r="A55" s="1" t="s">
        <v>684</v>
      </c>
      <c r="B55" s="680"/>
      <c r="C55" s="2">
        <v>6</v>
      </c>
      <c r="D55" s="2">
        <v>20</v>
      </c>
      <c r="E55" s="2">
        <v>92</v>
      </c>
      <c r="F55" s="2">
        <v>1</v>
      </c>
      <c r="G55" s="3">
        <v>242</v>
      </c>
      <c r="H55" s="4">
        <v>206</v>
      </c>
      <c r="I55" s="5">
        <v>43</v>
      </c>
      <c r="J55" s="2">
        <f t="shared" si="1"/>
        <v>491</v>
      </c>
      <c r="K55" s="2"/>
      <c r="L55" s="17"/>
      <c r="M55" s="2"/>
      <c r="N55" s="2"/>
      <c r="O55" s="2"/>
      <c r="P55" s="10"/>
    </row>
    <row r="56" ht="17" spans="1:16">
      <c r="A56" s="1" t="s">
        <v>685</v>
      </c>
      <c r="B56" s="681"/>
      <c r="C56" s="2">
        <v>1</v>
      </c>
      <c r="D56" s="2">
        <v>28</v>
      </c>
      <c r="E56" s="2">
        <v>89</v>
      </c>
      <c r="F56" s="2">
        <v>0</v>
      </c>
      <c r="G56" s="3">
        <v>246</v>
      </c>
      <c r="H56" s="4">
        <v>196</v>
      </c>
      <c r="I56" s="5">
        <v>48</v>
      </c>
      <c r="J56" s="2">
        <f t="shared" si="1"/>
        <v>490</v>
      </c>
      <c r="K56" s="2"/>
      <c r="L56" s="17"/>
      <c r="M56" s="2"/>
      <c r="N56" s="2"/>
      <c r="O56" s="2"/>
      <c r="P56" s="10"/>
    </row>
    <row r="57" ht="17" spans="1:16">
      <c r="A57" s="1" t="s">
        <v>686</v>
      </c>
      <c r="B57" s="682"/>
      <c r="C57" s="2">
        <v>0</v>
      </c>
      <c r="D57" s="2">
        <v>33</v>
      </c>
      <c r="E57" s="2">
        <v>83</v>
      </c>
      <c r="F57" s="2">
        <v>0</v>
      </c>
      <c r="G57" s="3">
        <v>248</v>
      </c>
      <c r="H57" s="4">
        <v>188</v>
      </c>
      <c r="I57" s="5">
        <v>49</v>
      </c>
      <c r="J57" s="2">
        <f t="shared" si="1"/>
        <v>485</v>
      </c>
      <c r="K57" s="2"/>
      <c r="L57" s="17"/>
      <c r="M57" s="2"/>
      <c r="N57" s="2"/>
      <c r="O57" s="2"/>
      <c r="P57" s="10"/>
    </row>
    <row r="58" ht="17" spans="1:16">
      <c r="A58" s="1" t="s">
        <v>687</v>
      </c>
      <c r="B58" s="683"/>
      <c r="C58" s="2">
        <v>0</v>
      </c>
      <c r="D58" s="2">
        <v>20</v>
      </c>
      <c r="E58" s="2">
        <v>95</v>
      </c>
      <c r="F58" s="2">
        <v>0</v>
      </c>
      <c r="G58" s="3">
        <v>252</v>
      </c>
      <c r="H58" s="4">
        <v>210</v>
      </c>
      <c r="I58" s="5">
        <v>23</v>
      </c>
      <c r="J58" s="2">
        <f t="shared" si="1"/>
        <v>485</v>
      </c>
      <c r="K58" s="2"/>
      <c r="L58" s="17"/>
      <c r="M58" s="2"/>
      <c r="N58" s="2"/>
      <c r="O58" s="2"/>
      <c r="P58" s="10"/>
    </row>
    <row r="59" ht="17" spans="1:16">
      <c r="A59" s="1" t="s">
        <v>688</v>
      </c>
      <c r="B59" s="684"/>
      <c r="C59" s="2">
        <v>14</v>
      </c>
      <c r="D59" s="2">
        <v>22</v>
      </c>
      <c r="E59" s="2">
        <v>85</v>
      </c>
      <c r="F59" s="2">
        <v>2</v>
      </c>
      <c r="G59" s="3">
        <v>223</v>
      </c>
      <c r="H59" s="4">
        <v>194</v>
      </c>
      <c r="I59" s="5">
        <v>67</v>
      </c>
      <c r="J59" s="2">
        <f t="shared" si="1"/>
        <v>484</v>
      </c>
      <c r="K59" s="2"/>
      <c r="L59" s="17"/>
      <c r="M59" s="2"/>
      <c r="N59" s="2"/>
      <c r="O59" s="2"/>
      <c r="P59" s="10"/>
    </row>
    <row r="60" ht="34" spans="1:16">
      <c r="A60" s="1" t="s">
        <v>689</v>
      </c>
      <c r="B60" s="685"/>
      <c r="C60" s="2">
        <v>20</v>
      </c>
      <c r="D60" s="2">
        <v>40</v>
      </c>
      <c r="E60" s="2">
        <v>60</v>
      </c>
      <c r="F60" s="2">
        <v>0</v>
      </c>
      <c r="G60" s="3">
        <v>210</v>
      </c>
      <c r="H60" s="4">
        <v>163</v>
      </c>
      <c r="I60" s="5">
        <v>108</v>
      </c>
      <c r="J60" s="2">
        <f t="shared" si="1"/>
        <v>481</v>
      </c>
      <c r="K60" s="12"/>
      <c r="L60" s="2"/>
      <c r="M60" s="2"/>
      <c r="N60" s="2"/>
      <c r="O60" s="2"/>
      <c r="P60" s="10" t="s">
        <v>690</v>
      </c>
    </row>
    <row r="61" ht="118" spans="1:16">
      <c r="A61" s="1" t="s">
        <v>691</v>
      </c>
      <c r="B61" s="686"/>
      <c r="C61" s="2">
        <v>0</v>
      </c>
      <c r="D61" s="2">
        <v>21</v>
      </c>
      <c r="E61" s="2">
        <v>94</v>
      </c>
      <c r="F61" s="2">
        <v>0</v>
      </c>
      <c r="G61" s="3">
        <v>254</v>
      </c>
      <c r="H61" s="4">
        <v>209</v>
      </c>
      <c r="I61" s="5">
        <v>16</v>
      </c>
      <c r="J61" s="2">
        <f t="shared" si="1"/>
        <v>479</v>
      </c>
      <c r="K61" s="2"/>
      <c r="L61" s="17"/>
      <c r="M61" s="2"/>
      <c r="N61" s="14"/>
      <c r="O61" s="9"/>
      <c r="P61" s="10" t="s">
        <v>692</v>
      </c>
    </row>
    <row r="62" ht="17" spans="1:16">
      <c r="A62" s="1" t="s">
        <v>693</v>
      </c>
      <c r="B62" s="687"/>
      <c r="C62" s="2">
        <v>0</v>
      </c>
      <c r="D62" s="2">
        <v>35</v>
      </c>
      <c r="E62" s="2">
        <v>89</v>
      </c>
      <c r="F62" s="2">
        <v>0</v>
      </c>
      <c r="G62" s="3">
        <v>251</v>
      </c>
      <c r="H62" s="4">
        <v>185</v>
      </c>
      <c r="I62" s="5">
        <v>41</v>
      </c>
      <c r="J62" s="2">
        <f t="shared" si="1"/>
        <v>477</v>
      </c>
      <c r="K62" s="2"/>
      <c r="L62" s="17"/>
      <c r="M62" s="2"/>
      <c r="N62" s="2"/>
      <c r="O62" s="2"/>
      <c r="P62" s="10"/>
    </row>
    <row r="63" ht="17" spans="1:16">
      <c r="A63" s="1" t="s">
        <v>694</v>
      </c>
      <c r="B63" s="688"/>
      <c r="C63" s="2">
        <v>0</v>
      </c>
      <c r="D63" s="2">
        <v>24</v>
      </c>
      <c r="E63" s="2">
        <v>94</v>
      </c>
      <c r="F63" s="2">
        <v>0</v>
      </c>
      <c r="G63" s="3">
        <v>252</v>
      </c>
      <c r="H63" s="4">
        <v>203</v>
      </c>
      <c r="I63" s="5">
        <v>22</v>
      </c>
      <c r="J63" s="2">
        <f t="shared" si="1"/>
        <v>477</v>
      </c>
      <c r="K63" s="2"/>
      <c r="L63" s="17"/>
      <c r="M63" s="2"/>
      <c r="N63" s="2"/>
      <c r="O63" s="2"/>
      <c r="P63" s="10"/>
    </row>
    <row r="64" ht="17" spans="1:16">
      <c r="A64" s="1" t="s">
        <v>695</v>
      </c>
      <c r="B64" s="689"/>
      <c r="C64" s="2">
        <v>0</v>
      </c>
      <c r="D64" s="2">
        <v>24</v>
      </c>
      <c r="E64" s="2">
        <v>94</v>
      </c>
      <c r="F64" s="2">
        <v>0</v>
      </c>
      <c r="G64" s="3">
        <v>254</v>
      </c>
      <c r="H64" s="4">
        <v>204</v>
      </c>
      <c r="I64" s="5">
        <v>17</v>
      </c>
      <c r="J64" s="2">
        <f t="shared" si="1"/>
        <v>475</v>
      </c>
      <c r="K64" s="2"/>
      <c r="L64" s="17"/>
      <c r="M64" s="2"/>
      <c r="N64" s="2"/>
      <c r="O64" s="2"/>
      <c r="P64" s="10"/>
    </row>
    <row r="65" ht="34" spans="1:16">
      <c r="A65" s="1" t="s">
        <v>696</v>
      </c>
      <c r="B65" s="690"/>
      <c r="C65" s="2">
        <v>10</v>
      </c>
      <c r="D65" s="2">
        <v>40</v>
      </c>
      <c r="E65" s="2">
        <v>75</v>
      </c>
      <c r="F65" s="2">
        <v>0</v>
      </c>
      <c r="G65" s="3">
        <v>229</v>
      </c>
      <c r="H65" s="4">
        <v>168</v>
      </c>
      <c r="I65" s="5">
        <v>75</v>
      </c>
      <c r="J65" s="2">
        <f t="shared" si="1"/>
        <v>472</v>
      </c>
      <c r="K65" s="12"/>
      <c r="L65" s="2"/>
      <c r="M65" s="2"/>
      <c r="N65" s="2"/>
      <c r="O65" s="2"/>
      <c r="P65" s="10" t="s">
        <v>697</v>
      </c>
    </row>
    <row r="66" ht="17" spans="1:16">
      <c r="A66" s="1" t="s">
        <v>698</v>
      </c>
      <c r="B66" s="691"/>
      <c r="C66" s="2">
        <v>0</v>
      </c>
      <c r="D66" s="2">
        <v>28</v>
      </c>
      <c r="E66" s="2">
        <v>94</v>
      </c>
      <c r="F66" s="2">
        <v>0</v>
      </c>
      <c r="G66" s="3">
        <v>252</v>
      </c>
      <c r="H66" s="4">
        <v>197</v>
      </c>
      <c r="I66" s="5">
        <v>21</v>
      </c>
      <c r="J66" s="2">
        <f t="shared" si="1"/>
        <v>470</v>
      </c>
      <c r="K66" s="2"/>
      <c r="L66" s="17"/>
      <c r="M66" s="2"/>
      <c r="N66" s="2"/>
      <c r="O66" s="2"/>
      <c r="P66" s="10"/>
    </row>
    <row r="67" ht="17" spans="1:16">
      <c r="A67" s="1" t="s">
        <v>699</v>
      </c>
      <c r="B67" s="692"/>
      <c r="C67" s="2">
        <v>0</v>
      </c>
      <c r="D67" s="2">
        <v>26</v>
      </c>
      <c r="E67" s="2">
        <v>94</v>
      </c>
      <c r="F67" s="2">
        <v>0</v>
      </c>
      <c r="G67" s="3">
        <v>255</v>
      </c>
      <c r="H67" s="4">
        <v>201</v>
      </c>
      <c r="I67" s="5">
        <v>12</v>
      </c>
      <c r="J67" s="2">
        <f t="shared" si="1"/>
        <v>468</v>
      </c>
      <c r="K67" s="2"/>
      <c r="L67" s="17"/>
      <c r="M67" s="2"/>
      <c r="N67" s="14"/>
      <c r="O67" s="2"/>
      <c r="P67" s="10" t="s">
        <v>700</v>
      </c>
    </row>
    <row r="68" ht="17" spans="1:16">
      <c r="A68" s="1" t="s">
        <v>701</v>
      </c>
      <c r="B68" s="693"/>
      <c r="C68" s="2">
        <v>6</v>
      </c>
      <c r="D68" s="2">
        <v>22</v>
      </c>
      <c r="E68" s="2">
        <v>92</v>
      </c>
      <c r="F68" s="2">
        <v>0</v>
      </c>
      <c r="G68" s="3">
        <v>241</v>
      </c>
      <c r="H68" s="4">
        <v>202</v>
      </c>
      <c r="I68" s="5">
        <v>23</v>
      </c>
      <c r="J68" s="2">
        <f t="shared" si="1"/>
        <v>466</v>
      </c>
      <c r="K68" s="2"/>
      <c r="L68" s="17"/>
      <c r="M68" s="2"/>
      <c r="N68" s="2"/>
      <c r="O68" s="2"/>
      <c r="P68" s="10"/>
    </row>
    <row r="69" ht="17" spans="1:16">
      <c r="A69" s="1" t="s">
        <v>702</v>
      </c>
      <c r="B69" s="694"/>
      <c r="C69" s="2">
        <v>0</v>
      </c>
      <c r="D69" s="2">
        <v>30</v>
      </c>
      <c r="E69" s="2">
        <v>95</v>
      </c>
      <c r="F69" s="2">
        <v>0</v>
      </c>
      <c r="G69" s="3">
        <v>249</v>
      </c>
      <c r="H69" s="4">
        <v>193</v>
      </c>
      <c r="I69" s="5">
        <v>22</v>
      </c>
      <c r="J69" s="2">
        <f t="shared" si="1"/>
        <v>464</v>
      </c>
      <c r="K69" s="2"/>
      <c r="L69" s="17"/>
      <c r="M69" s="2"/>
      <c r="N69" s="2"/>
      <c r="O69" s="2"/>
      <c r="P69" s="10"/>
    </row>
    <row r="70" ht="17" spans="1:16">
      <c r="A70" s="1" t="s">
        <v>684</v>
      </c>
      <c r="B70" s="695"/>
      <c r="C70" s="2"/>
      <c r="D70" s="2"/>
      <c r="E70" s="2"/>
      <c r="F70" s="2"/>
      <c r="G70" s="3"/>
      <c r="H70" s="4"/>
      <c r="I70" s="5"/>
      <c r="J70" s="2"/>
      <c r="K70" s="2"/>
      <c r="L70" s="2"/>
      <c r="M70" s="2"/>
      <c r="N70" s="14"/>
      <c r="O70" s="2"/>
      <c r="P70" s="10" t="s">
        <v>703</v>
      </c>
    </row>
    <row r="71" ht="51" spans="1:16">
      <c r="A71" s="1" t="s">
        <v>704</v>
      </c>
      <c r="B71" s="696"/>
      <c r="C71" s="2">
        <v>12</v>
      </c>
      <c r="D71" s="2">
        <v>24</v>
      </c>
      <c r="E71" s="2">
        <v>95</v>
      </c>
      <c r="F71" s="2">
        <v>2</v>
      </c>
      <c r="G71" s="3">
        <v>226</v>
      </c>
      <c r="H71" s="4">
        <v>192</v>
      </c>
      <c r="I71" s="5">
        <v>39</v>
      </c>
      <c r="J71" s="2">
        <f t="shared" si="1"/>
        <v>457</v>
      </c>
      <c r="K71" s="12" t="s">
        <v>705</v>
      </c>
      <c r="L71" s="17"/>
      <c r="M71" s="19">
        <v>255199115</v>
      </c>
      <c r="N71" s="14"/>
      <c r="O71" s="2"/>
      <c r="P71" s="10" t="s">
        <v>706</v>
      </c>
    </row>
    <row r="72" ht="17" spans="1:16">
      <c r="A72" s="1" t="s">
        <v>707</v>
      </c>
      <c r="B72" s="697"/>
      <c r="C72" s="2">
        <v>0</v>
      </c>
      <c r="D72" s="2">
        <v>32</v>
      </c>
      <c r="E72" s="2">
        <v>95</v>
      </c>
      <c r="F72" s="2">
        <v>0</v>
      </c>
      <c r="G72" s="3">
        <v>249</v>
      </c>
      <c r="H72" s="4">
        <v>189</v>
      </c>
      <c r="I72" s="5">
        <v>16</v>
      </c>
      <c r="J72" s="2">
        <f t="shared" ref="J72:J105" si="2">G72+H72+I72</f>
        <v>454</v>
      </c>
      <c r="K72" s="2"/>
      <c r="L72" s="17"/>
      <c r="M72" s="2"/>
      <c r="N72" s="2"/>
      <c r="O72" s="2"/>
      <c r="P72" s="10"/>
    </row>
    <row r="73" ht="17" spans="1:16">
      <c r="A73" s="1" t="s">
        <v>708</v>
      </c>
      <c r="B73" s="698"/>
      <c r="C73" s="2">
        <v>0</v>
      </c>
      <c r="D73" s="2">
        <v>29</v>
      </c>
      <c r="E73" s="2">
        <v>95</v>
      </c>
      <c r="F73" s="2">
        <v>0</v>
      </c>
      <c r="G73" s="3">
        <v>252</v>
      </c>
      <c r="H73" s="4">
        <v>195</v>
      </c>
      <c r="I73" s="5">
        <v>7</v>
      </c>
      <c r="J73" s="2">
        <f t="shared" si="2"/>
        <v>454</v>
      </c>
      <c r="K73" s="2"/>
      <c r="L73" s="17"/>
      <c r="M73" s="2"/>
      <c r="N73" s="2"/>
      <c r="O73" s="2"/>
      <c r="P73" s="10"/>
    </row>
    <row r="74" ht="17" spans="1:16">
      <c r="A74" s="1" t="s">
        <v>709</v>
      </c>
      <c r="B74" s="699"/>
      <c r="C74" s="2">
        <v>0</v>
      </c>
      <c r="D74" s="2">
        <v>36</v>
      </c>
      <c r="E74" s="2">
        <v>93</v>
      </c>
      <c r="F74" s="2">
        <v>0</v>
      </c>
      <c r="G74" s="3">
        <v>251</v>
      </c>
      <c r="H74" s="4">
        <v>182</v>
      </c>
      <c r="I74" s="5">
        <v>18</v>
      </c>
      <c r="J74" s="2">
        <f t="shared" si="2"/>
        <v>451</v>
      </c>
      <c r="K74" s="2"/>
      <c r="L74" s="17"/>
      <c r="M74" s="2"/>
      <c r="N74" s="14"/>
      <c r="O74" s="2"/>
      <c r="P74" s="10" t="s">
        <v>710</v>
      </c>
    </row>
    <row r="75" ht="135" spans="1:16">
      <c r="A75" s="1" t="s">
        <v>711</v>
      </c>
      <c r="B75" s="700"/>
      <c r="C75" s="2">
        <v>0</v>
      </c>
      <c r="D75" s="2">
        <v>25</v>
      </c>
      <c r="E75" s="2">
        <v>100</v>
      </c>
      <c r="F75" s="2">
        <v>2</v>
      </c>
      <c r="G75" s="3">
        <v>249</v>
      </c>
      <c r="H75" s="4">
        <v>198</v>
      </c>
      <c r="I75" s="5">
        <v>0</v>
      </c>
      <c r="J75" s="2">
        <f t="shared" si="2"/>
        <v>447</v>
      </c>
      <c r="K75" s="2"/>
      <c r="L75" s="2"/>
      <c r="M75" s="12" t="s">
        <v>712</v>
      </c>
      <c r="N75" s="2"/>
      <c r="O75" s="9"/>
      <c r="P75" s="10" t="s">
        <v>713</v>
      </c>
    </row>
    <row r="76" ht="17" spans="1:16">
      <c r="A76" s="1" t="s">
        <v>714</v>
      </c>
      <c r="B76" s="701"/>
      <c r="C76" s="2">
        <v>0</v>
      </c>
      <c r="D76" s="2">
        <v>34</v>
      </c>
      <c r="E76" s="2">
        <v>93</v>
      </c>
      <c r="F76" s="2">
        <v>0</v>
      </c>
      <c r="G76" s="3">
        <v>254</v>
      </c>
      <c r="H76" s="4">
        <v>186</v>
      </c>
      <c r="I76" s="5">
        <v>7</v>
      </c>
      <c r="J76" s="2">
        <f t="shared" si="2"/>
        <v>447</v>
      </c>
      <c r="K76" s="2"/>
      <c r="L76" s="17"/>
      <c r="M76" s="12" t="s">
        <v>715</v>
      </c>
      <c r="N76" s="14"/>
      <c r="O76" s="2"/>
      <c r="P76" s="10" t="s">
        <v>716</v>
      </c>
    </row>
    <row r="77" ht="172" spans="1:16">
      <c r="A77" s="1" t="s">
        <v>717</v>
      </c>
      <c r="B77" s="702"/>
      <c r="C77" s="2">
        <v>0</v>
      </c>
      <c r="D77" s="2">
        <v>48</v>
      </c>
      <c r="E77" s="2">
        <v>85</v>
      </c>
      <c r="F77" s="2">
        <v>0</v>
      </c>
      <c r="G77" s="3">
        <v>244</v>
      </c>
      <c r="H77" s="4">
        <v>157</v>
      </c>
      <c r="I77" s="5">
        <v>45</v>
      </c>
      <c r="J77" s="2">
        <f t="shared" si="2"/>
        <v>446</v>
      </c>
      <c r="K77" s="12" t="s">
        <v>718</v>
      </c>
      <c r="L77" s="2"/>
      <c r="M77" s="2"/>
      <c r="N77" s="2"/>
      <c r="O77" s="9"/>
      <c r="P77" s="473" t="s">
        <v>719</v>
      </c>
    </row>
    <row r="78" ht="17" spans="1:16">
      <c r="A78" s="1" t="s">
        <v>720</v>
      </c>
      <c r="B78" s="703"/>
      <c r="C78" s="2">
        <v>0</v>
      </c>
      <c r="D78" s="2">
        <v>35</v>
      </c>
      <c r="E78" s="2">
        <v>94</v>
      </c>
      <c r="F78" s="2">
        <v>0</v>
      </c>
      <c r="G78" s="3">
        <v>252</v>
      </c>
      <c r="H78" s="4">
        <v>183</v>
      </c>
      <c r="I78" s="5">
        <v>10</v>
      </c>
      <c r="J78" s="2">
        <f t="shared" si="2"/>
        <v>445</v>
      </c>
      <c r="K78" s="2"/>
      <c r="L78" s="17"/>
      <c r="M78" s="2"/>
      <c r="N78" s="2"/>
      <c r="O78" s="2"/>
      <c r="P78" s="10"/>
    </row>
    <row r="79" ht="152" spans="1:16">
      <c r="A79" s="1" t="s">
        <v>721</v>
      </c>
      <c r="B79" s="704"/>
      <c r="C79" s="2">
        <v>0</v>
      </c>
      <c r="D79" s="2">
        <v>18</v>
      </c>
      <c r="E79" s="2">
        <v>99</v>
      </c>
      <c r="F79" s="2">
        <v>9</v>
      </c>
      <c r="G79" s="3">
        <v>240</v>
      </c>
      <c r="H79" s="4">
        <v>200</v>
      </c>
      <c r="I79" s="5">
        <v>0</v>
      </c>
      <c r="J79" s="2">
        <f t="shared" si="2"/>
        <v>440</v>
      </c>
      <c r="K79" s="2"/>
      <c r="L79" s="2"/>
      <c r="M79" s="2"/>
      <c r="N79" s="2"/>
      <c r="O79" s="9"/>
      <c r="P79" s="10" t="s">
        <v>722</v>
      </c>
    </row>
    <row r="80" ht="17" spans="1:16">
      <c r="A80" s="1" t="s">
        <v>723</v>
      </c>
      <c r="B80" s="705"/>
      <c r="C80" s="2">
        <v>11</v>
      </c>
      <c r="D80" s="2">
        <v>25</v>
      </c>
      <c r="E80" s="2">
        <v>99</v>
      </c>
      <c r="F80" s="2">
        <v>1</v>
      </c>
      <c r="G80" s="3">
        <v>228</v>
      </c>
      <c r="H80" s="4">
        <v>191</v>
      </c>
      <c r="I80" s="5">
        <v>17</v>
      </c>
      <c r="J80" s="2">
        <f t="shared" si="2"/>
        <v>436</v>
      </c>
      <c r="K80" s="2"/>
      <c r="L80" s="17"/>
      <c r="M80" s="2"/>
      <c r="N80" s="2"/>
      <c r="O80" s="2"/>
      <c r="P80" s="10"/>
    </row>
    <row r="81" ht="17" spans="1:16">
      <c r="A81" s="1" t="s">
        <v>724</v>
      </c>
      <c r="B81" s="706"/>
      <c r="C81" s="2">
        <v>17</v>
      </c>
      <c r="D81" s="2">
        <v>27</v>
      </c>
      <c r="E81" s="2">
        <v>94</v>
      </c>
      <c r="F81" s="2">
        <v>4</v>
      </c>
      <c r="G81" s="3">
        <v>210</v>
      </c>
      <c r="H81" s="4">
        <v>180</v>
      </c>
      <c r="I81" s="5">
        <v>44</v>
      </c>
      <c r="J81" s="2">
        <f t="shared" si="2"/>
        <v>434</v>
      </c>
      <c r="K81" s="2"/>
      <c r="L81" s="17"/>
      <c r="M81" s="2"/>
      <c r="N81" s="14"/>
      <c r="O81" s="2"/>
      <c r="P81" s="10" t="s">
        <v>725</v>
      </c>
    </row>
    <row r="82" ht="17" spans="1:16">
      <c r="A82" s="1" t="s">
        <v>726</v>
      </c>
      <c r="B82" s="707"/>
      <c r="C82" s="2">
        <v>3</v>
      </c>
      <c r="D82" s="2">
        <v>38</v>
      </c>
      <c r="E82" s="2">
        <v>97</v>
      </c>
      <c r="F82" s="2">
        <v>0</v>
      </c>
      <c r="G82" s="3">
        <v>234</v>
      </c>
      <c r="H82" s="4">
        <v>173</v>
      </c>
      <c r="I82" s="5">
        <v>26</v>
      </c>
      <c r="J82" s="2">
        <f t="shared" si="2"/>
        <v>433</v>
      </c>
      <c r="K82" s="2"/>
      <c r="L82" s="17"/>
      <c r="M82" s="2"/>
      <c r="N82" s="14"/>
      <c r="O82" s="2"/>
      <c r="P82" s="10" t="s">
        <v>727</v>
      </c>
    </row>
    <row r="83" ht="84" spans="1:16">
      <c r="A83" s="1" t="s">
        <v>728</v>
      </c>
      <c r="B83" s="708"/>
      <c r="C83" s="2">
        <v>20</v>
      </c>
      <c r="D83" s="2">
        <v>40</v>
      </c>
      <c r="E83" s="2">
        <v>85</v>
      </c>
      <c r="F83" s="2">
        <v>0</v>
      </c>
      <c r="G83" s="3">
        <v>211</v>
      </c>
      <c r="H83" s="4">
        <v>162</v>
      </c>
      <c r="I83" s="5">
        <v>55</v>
      </c>
      <c r="J83" s="2">
        <f t="shared" si="2"/>
        <v>428</v>
      </c>
      <c r="K83" s="12"/>
      <c r="L83" s="2"/>
      <c r="M83" s="2"/>
      <c r="N83" s="2"/>
      <c r="O83" s="2"/>
      <c r="P83" s="10" t="s">
        <v>729</v>
      </c>
    </row>
    <row r="84" ht="202" spans="1:16">
      <c r="A84" s="1" t="s">
        <v>730</v>
      </c>
      <c r="B84" s="709"/>
      <c r="C84" s="2">
        <v>0</v>
      </c>
      <c r="D84" s="2">
        <v>36</v>
      </c>
      <c r="E84" s="2">
        <v>70</v>
      </c>
      <c r="F84" s="2">
        <v>24</v>
      </c>
      <c r="G84" s="3">
        <v>206</v>
      </c>
      <c r="H84" s="4">
        <v>151</v>
      </c>
      <c r="I84" s="5">
        <v>71</v>
      </c>
      <c r="J84" s="2">
        <f t="shared" si="2"/>
        <v>428</v>
      </c>
      <c r="K84" s="2"/>
      <c r="L84" s="2"/>
      <c r="M84" s="2"/>
      <c r="N84" s="2"/>
      <c r="O84" s="9"/>
      <c r="P84" s="10" t="s">
        <v>731</v>
      </c>
    </row>
    <row r="85" ht="34" spans="1:16">
      <c r="A85" s="1" t="s">
        <v>732</v>
      </c>
      <c r="B85" s="710"/>
      <c r="C85" s="2">
        <v>15</v>
      </c>
      <c r="D85" s="2">
        <v>45</v>
      </c>
      <c r="E85" s="2">
        <v>85</v>
      </c>
      <c r="F85" s="2">
        <v>0</v>
      </c>
      <c r="G85" s="3">
        <v>219</v>
      </c>
      <c r="H85" s="4">
        <v>155</v>
      </c>
      <c r="I85" s="5">
        <v>52</v>
      </c>
      <c r="J85" s="2">
        <f t="shared" si="2"/>
        <v>426</v>
      </c>
      <c r="K85" s="12"/>
      <c r="L85" s="2"/>
      <c r="M85" s="2"/>
      <c r="N85" s="2"/>
      <c r="O85" s="2"/>
      <c r="P85" s="10" t="s">
        <v>733</v>
      </c>
    </row>
    <row r="86" ht="17" spans="1:16">
      <c r="A86" s="1" t="s">
        <v>734</v>
      </c>
      <c r="B86" s="711"/>
      <c r="C86" s="2">
        <v>3</v>
      </c>
      <c r="D86" s="2">
        <v>36</v>
      </c>
      <c r="E86" s="2">
        <v>99</v>
      </c>
      <c r="F86" s="2">
        <v>0</v>
      </c>
      <c r="G86" s="3">
        <v>235</v>
      </c>
      <c r="H86" s="4">
        <v>177</v>
      </c>
      <c r="I86" s="5">
        <v>13</v>
      </c>
      <c r="J86" s="2">
        <f t="shared" si="2"/>
        <v>425</v>
      </c>
      <c r="K86" s="2"/>
      <c r="L86" s="17"/>
      <c r="M86" s="2"/>
      <c r="N86" s="14"/>
      <c r="O86" s="2"/>
      <c r="P86" s="10" t="s">
        <v>735</v>
      </c>
    </row>
    <row r="87" ht="34" spans="1:16">
      <c r="A87" s="1" t="s">
        <v>736</v>
      </c>
      <c r="B87" s="712"/>
      <c r="C87" s="2">
        <v>30</v>
      </c>
      <c r="D87" s="2">
        <v>45</v>
      </c>
      <c r="E87" s="2">
        <v>70</v>
      </c>
      <c r="F87" s="2">
        <v>0</v>
      </c>
      <c r="G87" s="3">
        <v>190</v>
      </c>
      <c r="H87" s="4">
        <v>148</v>
      </c>
      <c r="I87" s="5">
        <v>87</v>
      </c>
      <c r="J87" s="2">
        <f t="shared" si="2"/>
        <v>425</v>
      </c>
      <c r="K87" s="12"/>
      <c r="L87" s="2"/>
      <c r="M87" s="2"/>
      <c r="N87" s="2"/>
      <c r="O87" s="2"/>
      <c r="P87" s="10" t="s">
        <v>737</v>
      </c>
    </row>
    <row r="88" ht="34" spans="1:16">
      <c r="A88" s="1" t="s">
        <v>738</v>
      </c>
      <c r="B88" s="713"/>
      <c r="C88" s="2">
        <v>10</v>
      </c>
      <c r="D88" s="2">
        <v>55</v>
      </c>
      <c r="E88" s="2">
        <v>80</v>
      </c>
      <c r="F88" s="2">
        <v>0</v>
      </c>
      <c r="G88" s="3">
        <v>225</v>
      </c>
      <c r="H88" s="4">
        <v>138</v>
      </c>
      <c r="I88" s="5">
        <v>59</v>
      </c>
      <c r="J88" s="2">
        <f t="shared" si="2"/>
        <v>422</v>
      </c>
      <c r="K88" s="12"/>
      <c r="L88" s="2"/>
      <c r="M88" s="2"/>
      <c r="N88" s="2"/>
      <c r="O88" s="2"/>
      <c r="P88" s="10" t="s">
        <v>739</v>
      </c>
    </row>
    <row r="89" ht="17" spans="1:16">
      <c r="A89" s="1" t="s">
        <v>740</v>
      </c>
      <c r="B89" s="714"/>
      <c r="C89" s="2">
        <v>30</v>
      </c>
      <c r="D89" s="2">
        <v>30</v>
      </c>
      <c r="E89" s="2">
        <v>70</v>
      </c>
      <c r="F89" s="2">
        <v>12</v>
      </c>
      <c r="G89" s="3">
        <v>173</v>
      </c>
      <c r="H89" s="4">
        <v>158</v>
      </c>
      <c r="I89" s="5">
        <v>85</v>
      </c>
      <c r="J89" s="2">
        <f t="shared" si="2"/>
        <v>416</v>
      </c>
      <c r="K89" s="2"/>
      <c r="L89" s="17"/>
      <c r="M89" s="2"/>
      <c r="N89" s="2"/>
      <c r="O89" s="2"/>
      <c r="P89" s="10"/>
    </row>
    <row r="90" ht="17" spans="1:16">
      <c r="A90" s="1" t="s">
        <v>741</v>
      </c>
      <c r="B90" s="715"/>
      <c r="C90" s="2">
        <v>5</v>
      </c>
      <c r="D90" s="2">
        <v>35</v>
      </c>
      <c r="E90" s="2">
        <v>99</v>
      </c>
      <c r="F90" s="2">
        <v>0</v>
      </c>
      <c r="G90" s="3">
        <v>232</v>
      </c>
      <c r="H90" s="4">
        <v>176</v>
      </c>
      <c r="I90" s="5">
        <v>4</v>
      </c>
      <c r="J90" s="2">
        <f t="shared" si="2"/>
        <v>412</v>
      </c>
      <c r="K90" s="2"/>
      <c r="L90" s="17"/>
      <c r="M90" s="2"/>
      <c r="N90" s="14"/>
      <c r="O90" s="2"/>
      <c r="P90" s="10" t="s">
        <v>742</v>
      </c>
    </row>
    <row r="91" ht="17" spans="1:16">
      <c r="A91" s="1" t="s">
        <v>743</v>
      </c>
      <c r="B91" s="716"/>
      <c r="C91" s="2">
        <v>17</v>
      </c>
      <c r="D91" s="2">
        <v>29</v>
      </c>
      <c r="E91" s="2">
        <v>100</v>
      </c>
      <c r="F91" s="2">
        <v>4</v>
      </c>
      <c r="G91" s="3">
        <v>210</v>
      </c>
      <c r="H91" s="4">
        <v>177</v>
      </c>
      <c r="I91" s="5">
        <v>22</v>
      </c>
      <c r="J91" s="2">
        <f t="shared" si="2"/>
        <v>409</v>
      </c>
      <c r="K91" s="2"/>
      <c r="L91" s="17"/>
      <c r="M91" s="2"/>
      <c r="N91" s="2"/>
      <c r="O91" s="2"/>
      <c r="P91" s="10"/>
    </row>
    <row r="92" ht="185" spans="1:16">
      <c r="A92" s="1" t="s">
        <v>744</v>
      </c>
      <c r="B92" s="717"/>
      <c r="C92" s="2">
        <v>20</v>
      </c>
      <c r="D92" s="2">
        <v>30</v>
      </c>
      <c r="E92" s="2">
        <v>95</v>
      </c>
      <c r="F92" s="2">
        <v>0</v>
      </c>
      <c r="G92" s="3">
        <v>213</v>
      </c>
      <c r="H92" s="4">
        <v>178</v>
      </c>
      <c r="I92" s="5">
        <v>16</v>
      </c>
      <c r="J92" s="2">
        <f t="shared" si="2"/>
        <v>407</v>
      </c>
      <c r="K92" s="2"/>
      <c r="L92" s="2"/>
      <c r="M92" s="2"/>
      <c r="N92" s="2"/>
      <c r="O92" s="9"/>
      <c r="P92" s="10" t="s">
        <v>745</v>
      </c>
    </row>
    <row r="93" ht="135" spans="1:16">
      <c r="A93" s="1" t="s">
        <v>746</v>
      </c>
      <c r="B93" s="718"/>
      <c r="C93" s="2">
        <v>12</v>
      </c>
      <c r="D93" s="2">
        <v>41</v>
      </c>
      <c r="E93" s="2">
        <v>98</v>
      </c>
      <c r="F93" s="2">
        <v>2</v>
      </c>
      <c r="G93" s="3">
        <v>214</v>
      </c>
      <c r="H93" s="4">
        <v>160</v>
      </c>
      <c r="I93" s="5">
        <v>29</v>
      </c>
      <c r="J93" s="2">
        <f t="shared" si="2"/>
        <v>403</v>
      </c>
      <c r="K93" s="2"/>
      <c r="L93" s="17"/>
      <c r="M93" s="2"/>
      <c r="N93" s="14"/>
      <c r="O93" s="9"/>
      <c r="P93" s="10" t="s">
        <v>747</v>
      </c>
    </row>
    <row r="94" ht="17" spans="1:16">
      <c r="A94" s="1" t="s">
        <v>748</v>
      </c>
      <c r="B94" s="719"/>
      <c r="C94" s="2">
        <v>11</v>
      </c>
      <c r="D94" s="2">
        <v>39</v>
      </c>
      <c r="E94" s="2">
        <v>100</v>
      </c>
      <c r="F94" s="2">
        <v>2</v>
      </c>
      <c r="G94" s="3">
        <v>217</v>
      </c>
      <c r="H94" s="4">
        <v>164</v>
      </c>
      <c r="I94" s="5">
        <v>14</v>
      </c>
      <c r="J94" s="2">
        <f t="shared" si="2"/>
        <v>395</v>
      </c>
      <c r="K94" s="2"/>
      <c r="L94" s="17"/>
      <c r="M94" s="2"/>
      <c r="N94" s="2"/>
      <c r="O94" s="2"/>
      <c r="P94" s="10"/>
    </row>
    <row r="95" ht="68" spans="1:16">
      <c r="A95" s="1" t="s">
        <v>749</v>
      </c>
      <c r="B95" s="720"/>
      <c r="C95" s="2">
        <v>20</v>
      </c>
      <c r="D95" s="2">
        <v>55</v>
      </c>
      <c r="E95" s="2">
        <v>85</v>
      </c>
      <c r="F95" s="2">
        <v>0</v>
      </c>
      <c r="G95" s="3">
        <v>208</v>
      </c>
      <c r="H95" s="4">
        <v>134</v>
      </c>
      <c r="I95" s="5">
        <v>53</v>
      </c>
      <c r="J95" s="2">
        <f t="shared" si="2"/>
        <v>395</v>
      </c>
      <c r="K95" s="12" t="s">
        <v>60</v>
      </c>
      <c r="L95" s="2"/>
      <c r="M95" s="2"/>
      <c r="N95" s="2"/>
      <c r="O95" s="2"/>
      <c r="P95" s="10" t="s">
        <v>750</v>
      </c>
    </row>
    <row r="96" ht="17" spans="1:16">
      <c r="A96" s="1" t="s">
        <v>751</v>
      </c>
      <c r="B96" s="721"/>
      <c r="C96" s="2">
        <v>34</v>
      </c>
      <c r="D96" s="2">
        <v>38</v>
      </c>
      <c r="E96" s="2">
        <v>87</v>
      </c>
      <c r="F96" s="2">
        <v>7</v>
      </c>
      <c r="G96" s="3">
        <v>167</v>
      </c>
      <c r="H96" s="4">
        <v>142</v>
      </c>
      <c r="I96" s="5">
        <v>68</v>
      </c>
      <c r="J96" s="2">
        <f t="shared" si="2"/>
        <v>377</v>
      </c>
      <c r="K96" s="2"/>
      <c r="L96" s="2"/>
      <c r="M96" s="12"/>
      <c r="N96" s="2"/>
      <c r="O96" s="2"/>
      <c r="P96" s="10"/>
    </row>
    <row r="97" ht="17" spans="1:16">
      <c r="A97" s="1" t="s">
        <v>752</v>
      </c>
      <c r="B97" s="722"/>
      <c r="C97" s="2">
        <v>30</v>
      </c>
      <c r="D97" s="2">
        <v>50</v>
      </c>
      <c r="E97" s="2">
        <v>90</v>
      </c>
      <c r="F97" s="2">
        <v>0</v>
      </c>
      <c r="G97" s="3">
        <v>190</v>
      </c>
      <c r="H97" s="4">
        <v>138</v>
      </c>
      <c r="I97" s="5">
        <v>47</v>
      </c>
      <c r="J97" s="2">
        <f t="shared" si="2"/>
        <v>375</v>
      </c>
      <c r="K97" s="12"/>
      <c r="L97" s="2"/>
      <c r="M97" s="2"/>
      <c r="N97" s="2"/>
      <c r="O97" s="2"/>
      <c r="P97" s="10" t="s">
        <v>753</v>
      </c>
    </row>
    <row r="98" ht="32" spans="1:16">
      <c r="A98" s="1" t="s">
        <v>754</v>
      </c>
      <c r="B98" s="723"/>
      <c r="C98" s="2">
        <v>35</v>
      </c>
      <c r="D98" s="2">
        <v>35</v>
      </c>
      <c r="E98" s="2">
        <v>100</v>
      </c>
      <c r="F98" s="2">
        <v>0</v>
      </c>
      <c r="G98" s="3">
        <v>182</v>
      </c>
      <c r="H98" s="4">
        <v>160</v>
      </c>
      <c r="I98" s="5">
        <v>20</v>
      </c>
      <c r="J98" s="2">
        <f t="shared" si="2"/>
        <v>362</v>
      </c>
      <c r="K98" s="12"/>
      <c r="L98" s="2"/>
      <c r="M98" s="19">
        <v>81154115</v>
      </c>
      <c r="N98" s="14"/>
      <c r="O98" s="2"/>
      <c r="P98" s="473" t="s">
        <v>755</v>
      </c>
    </row>
    <row r="99" ht="17" spans="1:16">
      <c r="A99" s="1" t="s">
        <v>756</v>
      </c>
      <c r="B99" s="724"/>
      <c r="C99" s="2">
        <v>21</v>
      </c>
      <c r="D99" s="2">
        <v>44</v>
      </c>
      <c r="E99" s="2">
        <v>97</v>
      </c>
      <c r="F99" s="2">
        <v>11</v>
      </c>
      <c r="G99" s="3">
        <v>183</v>
      </c>
      <c r="H99" s="4">
        <v>139</v>
      </c>
      <c r="I99" s="5">
        <v>38</v>
      </c>
      <c r="J99" s="2">
        <f t="shared" si="2"/>
        <v>360</v>
      </c>
      <c r="K99" s="2"/>
      <c r="L99" s="17"/>
      <c r="M99" s="2"/>
      <c r="N99" s="2"/>
      <c r="O99" s="2"/>
      <c r="P99" s="10"/>
    </row>
    <row r="100" ht="17" spans="1:16">
      <c r="A100" s="1" t="s">
        <v>757</v>
      </c>
      <c r="B100" s="725"/>
      <c r="C100" s="2">
        <v>21</v>
      </c>
      <c r="D100" s="2">
        <v>43</v>
      </c>
      <c r="E100" s="2">
        <v>100</v>
      </c>
      <c r="F100" s="2">
        <v>11</v>
      </c>
      <c r="G100" s="3">
        <v>183</v>
      </c>
      <c r="H100" s="4">
        <v>141</v>
      </c>
      <c r="I100" s="5">
        <v>18</v>
      </c>
      <c r="J100" s="2">
        <f t="shared" si="2"/>
        <v>342</v>
      </c>
      <c r="K100" s="2"/>
      <c r="L100" s="17"/>
      <c r="M100" s="2"/>
      <c r="N100" s="2"/>
      <c r="O100" s="2"/>
      <c r="P100" s="10"/>
    </row>
    <row r="101" ht="84" spans="1:16">
      <c r="A101" s="1" t="s">
        <v>758</v>
      </c>
      <c r="B101" s="726"/>
      <c r="C101" s="2">
        <v>50</v>
      </c>
      <c r="D101" s="2">
        <v>55</v>
      </c>
      <c r="E101" s="2">
        <v>80</v>
      </c>
      <c r="F101" s="2">
        <v>10</v>
      </c>
      <c r="G101" s="3">
        <v>139</v>
      </c>
      <c r="H101" s="4">
        <v>112</v>
      </c>
      <c r="I101" s="5">
        <v>66</v>
      </c>
      <c r="J101" s="2">
        <f t="shared" si="2"/>
        <v>317</v>
      </c>
      <c r="K101" s="12"/>
      <c r="L101" s="2"/>
      <c r="M101" s="2"/>
      <c r="N101" s="2"/>
      <c r="O101" s="2"/>
      <c r="P101" s="10" t="s">
        <v>759</v>
      </c>
    </row>
    <row r="102" ht="34" spans="1:16">
      <c r="A102" s="1" t="s">
        <v>760</v>
      </c>
      <c r="B102" s="727"/>
      <c r="C102" s="2">
        <v>45</v>
      </c>
      <c r="D102" s="2">
        <v>70</v>
      </c>
      <c r="E102" s="2">
        <v>100</v>
      </c>
      <c r="F102" s="2">
        <v>0</v>
      </c>
      <c r="G102" s="3">
        <v>159</v>
      </c>
      <c r="H102" s="4">
        <v>96</v>
      </c>
      <c r="I102" s="5">
        <v>39</v>
      </c>
      <c r="J102" s="2">
        <f t="shared" si="2"/>
        <v>294</v>
      </c>
      <c r="K102" s="12" t="s">
        <v>60</v>
      </c>
      <c r="L102" s="2"/>
      <c r="M102" s="2"/>
      <c r="N102" s="2"/>
      <c r="O102" s="2"/>
      <c r="P102" s="10" t="s">
        <v>761</v>
      </c>
    </row>
    <row r="103" ht="17" spans="1:16">
      <c r="A103" s="1" t="s">
        <v>762</v>
      </c>
      <c r="B103" s="728"/>
      <c r="C103" s="2">
        <v>55</v>
      </c>
      <c r="D103" s="2">
        <v>70</v>
      </c>
      <c r="E103" s="2">
        <v>80</v>
      </c>
      <c r="F103" s="2">
        <v>20</v>
      </c>
      <c r="G103" s="3">
        <v>119</v>
      </c>
      <c r="H103" s="4">
        <v>80</v>
      </c>
      <c r="I103" s="5">
        <v>57</v>
      </c>
      <c r="J103" s="2">
        <f t="shared" si="2"/>
        <v>256</v>
      </c>
      <c r="K103" s="12"/>
      <c r="L103" s="2"/>
      <c r="M103" s="2"/>
      <c r="N103" s="2"/>
      <c r="O103" s="2"/>
      <c r="P103" s="10" t="s">
        <v>763</v>
      </c>
    </row>
    <row r="104" ht="17" spans="1:16">
      <c r="A104" s="1" t="s">
        <v>764</v>
      </c>
      <c r="B104" s="729"/>
      <c r="C104" s="2">
        <v>50</v>
      </c>
      <c r="D104" s="2">
        <v>75</v>
      </c>
      <c r="E104" s="2">
        <v>100</v>
      </c>
      <c r="F104" s="2">
        <v>25</v>
      </c>
      <c r="G104" s="3">
        <v>124</v>
      </c>
      <c r="H104" s="4">
        <v>70</v>
      </c>
      <c r="I104" s="5">
        <v>30</v>
      </c>
      <c r="J104" s="2">
        <f t="shared" si="2"/>
        <v>224</v>
      </c>
      <c r="K104" s="12"/>
      <c r="L104" s="2"/>
      <c r="M104" s="2"/>
      <c r="N104" s="2"/>
      <c r="O104" s="2"/>
      <c r="P104" s="10" t="s">
        <v>765</v>
      </c>
    </row>
    <row r="105" ht="17" spans="1:16">
      <c r="A105" s="1" t="s">
        <v>766</v>
      </c>
      <c r="B105" s="730"/>
      <c r="C105" s="2">
        <v>60</v>
      </c>
      <c r="D105" s="2">
        <v>70</v>
      </c>
      <c r="E105" s="2">
        <v>95</v>
      </c>
      <c r="F105" s="2">
        <v>35</v>
      </c>
      <c r="G105" s="3">
        <v>95</v>
      </c>
      <c r="H105" s="4">
        <v>67</v>
      </c>
      <c r="I105" s="5">
        <v>33</v>
      </c>
      <c r="J105" s="2">
        <f t="shared" si="2"/>
        <v>195</v>
      </c>
      <c r="K105" s="12"/>
      <c r="L105" s="2"/>
      <c r="M105" s="2"/>
      <c r="N105" s="2"/>
      <c r="O105" s="2"/>
      <c r="P105" s="10" t="s">
        <v>767</v>
      </c>
    </row>
  </sheetData>
  <mergeCells count="2">
    <mergeCell ref="C1:F1"/>
    <mergeCell ref="G1:I1"/>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P125"/>
  <sheetViews>
    <sheetView zoomScale="65" zoomScaleNormal="65" workbookViewId="0">
      <pane xSplit="2" ySplit="1" topLeftCell="C2" activePane="bottomRight" state="frozen"/>
      <selection/>
      <selection pane="topRight"/>
      <selection pane="bottomLeft"/>
      <selection pane="bottomRight" activeCell="A2" sqref="A2"/>
    </sheetView>
  </sheetViews>
  <sheetFormatPr defaultColWidth="9" defaultRowHeight="16.8"/>
  <cols>
    <col min="1" max="1" width="8.88392857142857" style="1"/>
    <col min="2" max="6" width="8.88392857142857" style="2"/>
    <col min="7" max="7" width="8.88392857142857" style="3"/>
    <col min="8" max="8" width="8.88392857142857" style="4"/>
    <col min="9" max="9" width="8.88392857142857" style="5"/>
    <col min="10" max="10" width="8.88392857142857" style="2"/>
    <col min="11" max="11" width="13.2232142857143" style="2" customWidth="1"/>
    <col min="12" max="12" width="8.88392857142857" style="2"/>
    <col min="13" max="13" width="13.5535714285714" style="2" customWidth="1"/>
    <col min="14" max="14" width="15" style="2" customWidth="1"/>
    <col min="15" max="15" width="12.8839285714286" style="2" customWidth="1"/>
    <col min="16" max="16" width="188.883928571429" style="10" customWidth="1"/>
    <col min="17" max="16384" width="8.88392857142857" style="351"/>
  </cols>
  <sheetData>
    <row r="1" s="350" customFormat="1" ht="51" spans="1:16">
      <c r="A1" s="1" t="s">
        <v>0</v>
      </c>
      <c r="B1" s="1" t="s">
        <v>1</v>
      </c>
      <c r="C1" s="1" t="s">
        <v>2</v>
      </c>
      <c r="D1" s="1"/>
      <c r="E1" s="1"/>
      <c r="F1" s="1"/>
      <c r="G1" s="1" t="s">
        <v>3</v>
      </c>
      <c r="H1" s="1"/>
      <c r="I1" s="1"/>
      <c r="J1" s="1"/>
      <c r="K1" s="1" t="s">
        <v>4</v>
      </c>
      <c r="L1" s="1" t="s">
        <v>768</v>
      </c>
      <c r="M1" s="1" t="s">
        <v>6</v>
      </c>
      <c r="N1" s="1" t="s">
        <v>7</v>
      </c>
      <c r="O1" s="1" t="s">
        <v>8</v>
      </c>
      <c r="P1" s="10" t="s">
        <v>9</v>
      </c>
    </row>
    <row r="2" ht="17" spans="1:16">
      <c r="A2" s="1" t="s">
        <v>0</v>
      </c>
      <c r="C2" s="2" t="s">
        <v>10</v>
      </c>
      <c r="D2" s="2" t="s">
        <v>11</v>
      </c>
      <c r="E2" s="2" t="s">
        <v>161</v>
      </c>
      <c r="F2" s="2" t="s">
        <v>13</v>
      </c>
      <c r="G2" s="3" t="s">
        <v>14</v>
      </c>
      <c r="H2" s="4" t="s">
        <v>15</v>
      </c>
      <c r="I2" s="5" t="s">
        <v>16</v>
      </c>
      <c r="J2" s="2" t="s">
        <v>17</v>
      </c>
      <c r="K2" s="12"/>
    </row>
    <row r="3" ht="17" spans="1:16">
      <c r="A3" s="1" t="s">
        <v>769</v>
      </c>
      <c r="B3" s="504"/>
      <c r="C3" s="2">
        <v>9</v>
      </c>
      <c r="D3" s="2">
        <v>1</v>
      </c>
      <c r="E3" s="2">
        <v>14</v>
      </c>
      <c r="F3" s="2">
        <v>0</v>
      </c>
      <c r="G3" s="3">
        <v>240</v>
      </c>
      <c r="H3" s="4">
        <v>245</v>
      </c>
      <c r="I3" s="5">
        <v>229</v>
      </c>
      <c r="J3" s="2">
        <f t="shared" ref="J3:J35" si="0">G3+H3+I3</f>
        <v>714</v>
      </c>
      <c r="L3" s="17"/>
    </row>
    <row r="4" ht="17" spans="1:16">
      <c r="A4" s="1" t="s">
        <v>770</v>
      </c>
      <c r="B4" s="505"/>
      <c r="C4" s="2">
        <v>20</v>
      </c>
      <c r="D4" s="2">
        <v>1</v>
      </c>
      <c r="E4" s="2">
        <v>23</v>
      </c>
      <c r="F4" s="2">
        <v>0</v>
      </c>
      <c r="G4" s="3">
        <v>223</v>
      </c>
      <c r="H4" s="4">
        <v>236</v>
      </c>
      <c r="I4" s="5">
        <v>213</v>
      </c>
      <c r="J4" s="2">
        <f t="shared" si="0"/>
        <v>672</v>
      </c>
      <c r="L4" s="17"/>
    </row>
    <row r="5" ht="17" spans="1:16">
      <c r="A5" s="1" t="s">
        <v>771</v>
      </c>
      <c r="B5" s="506"/>
      <c r="C5" s="2">
        <v>10</v>
      </c>
      <c r="D5" s="2">
        <v>0</v>
      </c>
      <c r="E5" s="2">
        <v>35</v>
      </c>
      <c r="F5" s="2">
        <v>0</v>
      </c>
      <c r="G5" s="3">
        <v>237</v>
      </c>
      <c r="H5" s="4">
        <v>241</v>
      </c>
      <c r="I5" s="5">
        <v>187</v>
      </c>
      <c r="J5" s="2">
        <f t="shared" si="0"/>
        <v>665</v>
      </c>
      <c r="K5" s="12"/>
      <c r="M5" s="12" t="s">
        <v>772</v>
      </c>
      <c r="P5" s="10" t="s">
        <v>773</v>
      </c>
    </row>
    <row r="6" ht="17" spans="1:16">
      <c r="A6" s="1" t="s">
        <v>774</v>
      </c>
      <c r="B6" s="507"/>
      <c r="C6" s="2">
        <v>20</v>
      </c>
      <c r="D6" s="2">
        <v>5</v>
      </c>
      <c r="E6" s="2">
        <v>20</v>
      </c>
      <c r="F6" s="2">
        <v>0</v>
      </c>
      <c r="G6" s="3">
        <v>213</v>
      </c>
      <c r="H6" s="4">
        <v>227</v>
      </c>
      <c r="I6" s="5">
        <v>212</v>
      </c>
      <c r="J6" s="2">
        <f t="shared" si="0"/>
        <v>652</v>
      </c>
      <c r="K6" s="12"/>
      <c r="P6" s="10" t="s">
        <v>775</v>
      </c>
    </row>
    <row r="7" ht="202" spans="1:16">
      <c r="A7" s="1" t="s">
        <v>776</v>
      </c>
      <c r="B7" s="508"/>
      <c r="C7" s="2">
        <v>14</v>
      </c>
      <c r="D7" s="2">
        <v>0</v>
      </c>
      <c r="E7" s="2">
        <v>15</v>
      </c>
      <c r="F7" s="2">
        <v>10</v>
      </c>
      <c r="G7" s="3">
        <v>212</v>
      </c>
      <c r="H7" s="4">
        <v>226</v>
      </c>
      <c r="I7" s="5">
        <v>212</v>
      </c>
      <c r="J7" s="2">
        <f t="shared" si="0"/>
        <v>650</v>
      </c>
      <c r="O7" s="9"/>
      <c r="P7" s="10" t="s">
        <v>777</v>
      </c>
    </row>
    <row r="8" ht="17" spans="1:16">
      <c r="A8" s="1" t="s">
        <v>778</v>
      </c>
      <c r="B8" s="509"/>
      <c r="C8" s="2">
        <v>18</v>
      </c>
      <c r="D8" s="2">
        <v>4</v>
      </c>
      <c r="E8" s="2">
        <v>33</v>
      </c>
      <c r="F8" s="2">
        <v>0</v>
      </c>
      <c r="G8" s="3">
        <v>226</v>
      </c>
      <c r="H8" s="4">
        <v>231</v>
      </c>
      <c r="I8" s="5">
        <v>191</v>
      </c>
      <c r="J8" s="2">
        <f t="shared" si="0"/>
        <v>648</v>
      </c>
      <c r="L8" s="17"/>
    </row>
    <row r="9" ht="17" spans="1:16">
      <c r="A9" s="1" t="s">
        <v>779</v>
      </c>
      <c r="B9" s="510"/>
      <c r="C9" s="2">
        <v>33</v>
      </c>
      <c r="D9" s="2">
        <v>1</v>
      </c>
      <c r="E9" s="2">
        <v>29</v>
      </c>
      <c r="F9" s="2">
        <v>0</v>
      </c>
      <c r="G9" s="3">
        <v>198</v>
      </c>
      <c r="H9" s="4">
        <v>223</v>
      </c>
      <c r="I9" s="5">
        <v>200</v>
      </c>
      <c r="J9" s="2">
        <f t="shared" si="0"/>
        <v>621</v>
      </c>
      <c r="L9" s="17"/>
    </row>
    <row r="10" ht="34" spans="1:16">
      <c r="A10" s="1" t="s">
        <v>780</v>
      </c>
      <c r="B10" s="511"/>
      <c r="C10" s="2">
        <v>25</v>
      </c>
      <c r="D10" s="2">
        <v>10</v>
      </c>
      <c r="E10" s="2">
        <v>25</v>
      </c>
      <c r="F10" s="2">
        <v>0</v>
      </c>
      <c r="G10" s="3">
        <v>202</v>
      </c>
      <c r="H10" s="4">
        <v>215</v>
      </c>
      <c r="I10" s="5">
        <v>197</v>
      </c>
      <c r="J10" s="2">
        <f t="shared" si="0"/>
        <v>614</v>
      </c>
      <c r="K10" s="12"/>
      <c r="P10" s="10" t="s">
        <v>781</v>
      </c>
    </row>
    <row r="11" ht="17" spans="1:16">
      <c r="A11" s="1" t="s">
        <v>782</v>
      </c>
      <c r="B11" s="512"/>
      <c r="C11" s="2">
        <v>15</v>
      </c>
      <c r="D11" s="2">
        <v>0</v>
      </c>
      <c r="E11" s="2">
        <v>50</v>
      </c>
      <c r="F11" s="2">
        <v>0</v>
      </c>
      <c r="G11" s="3">
        <v>227</v>
      </c>
      <c r="H11" s="4">
        <v>235</v>
      </c>
      <c r="I11" s="5">
        <v>152</v>
      </c>
      <c r="J11" s="2">
        <f t="shared" si="0"/>
        <v>614</v>
      </c>
      <c r="K11" s="12"/>
      <c r="P11" s="10" t="s">
        <v>783</v>
      </c>
    </row>
    <row r="12" ht="17" spans="1:16">
      <c r="A12" s="1" t="s">
        <v>784</v>
      </c>
      <c r="B12" s="513"/>
      <c r="C12" s="2">
        <v>40</v>
      </c>
      <c r="D12" s="2">
        <v>0</v>
      </c>
      <c r="E12" s="2">
        <v>30</v>
      </c>
      <c r="F12" s="2">
        <v>0</v>
      </c>
      <c r="G12" s="3">
        <v>185</v>
      </c>
      <c r="H12" s="4">
        <v>222</v>
      </c>
      <c r="I12" s="5">
        <v>201</v>
      </c>
      <c r="J12" s="2">
        <f t="shared" si="0"/>
        <v>608</v>
      </c>
      <c r="L12" s="17"/>
    </row>
    <row r="13" ht="219" spans="1:16">
      <c r="A13" s="1" t="s">
        <v>785</v>
      </c>
      <c r="B13" s="514"/>
      <c r="C13" s="2">
        <v>27</v>
      </c>
      <c r="D13" s="2">
        <v>11</v>
      </c>
      <c r="E13" s="2">
        <v>27</v>
      </c>
      <c r="F13" s="2">
        <v>1</v>
      </c>
      <c r="G13" s="3">
        <v>202</v>
      </c>
      <c r="H13" s="4">
        <v>211</v>
      </c>
      <c r="I13" s="5">
        <v>195</v>
      </c>
      <c r="J13" s="2">
        <f t="shared" si="0"/>
        <v>608</v>
      </c>
      <c r="L13" s="17"/>
      <c r="M13" s="19">
        <v>164226198</v>
      </c>
      <c r="N13" s="14"/>
      <c r="O13" s="9" t="s">
        <v>786</v>
      </c>
      <c r="P13" s="10" t="s">
        <v>787</v>
      </c>
    </row>
    <row r="14" ht="51" spans="1:16">
      <c r="A14" s="1" t="s">
        <v>788</v>
      </c>
      <c r="B14" s="515"/>
      <c r="C14" s="2">
        <v>28</v>
      </c>
      <c r="D14" s="2">
        <v>4</v>
      </c>
      <c r="E14" s="2">
        <v>44</v>
      </c>
      <c r="F14" s="2">
        <v>0</v>
      </c>
      <c r="G14" s="3">
        <v>208</v>
      </c>
      <c r="H14" s="4">
        <v>222</v>
      </c>
      <c r="I14" s="5">
        <v>170</v>
      </c>
      <c r="J14" s="2">
        <f t="shared" si="0"/>
        <v>600</v>
      </c>
      <c r="K14" s="12" t="s">
        <v>789</v>
      </c>
      <c r="L14" s="17"/>
      <c r="N14" s="14"/>
      <c r="P14" s="10" t="s">
        <v>790</v>
      </c>
    </row>
    <row r="15" ht="17" spans="1:16">
      <c r="A15" s="1" t="s">
        <v>791</v>
      </c>
      <c r="B15" s="516"/>
      <c r="C15" s="2">
        <v>30</v>
      </c>
      <c r="D15" s="2">
        <v>10</v>
      </c>
      <c r="E15" s="2">
        <v>30</v>
      </c>
      <c r="F15" s="2">
        <v>0</v>
      </c>
      <c r="G15" s="3">
        <v>190</v>
      </c>
      <c r="H15" s="4">
        <v>210</v>
      </c>
      <c r="I15" s="5">
        <v>187</v>
      </c>
      <c r="J15" s="2">
        <f t="shared" si="0"/>
        <v>587</v>
      </c>
      <c r="K15" s="12"/>
      <c r="P15" s="10" t="s">
        <v>792</v>
      </c>
    </row>
    <row r="16" ht="17" spans="1:16">
      <c r="A16" s="1" t="s">
        <v>793</v>
      </c>
      <c r="B16" s="517"/>
      <c r="C16" s="2">
        <v>20</v>
      </c>
      <c r="D16" s="2">
        <v>5</v>
      </c>
      <c r="E16" s="2">
        <v>55</v>
      </c>
      <c r="F16" s="2">
        <v>0</v>
      </c>
      <c r="G16" s="3">
        <v>216</v>
      </c>
      <c r="H16" s="4">
        <v>222</v>
      </c>
      <c r="I16" s="5">
        <v>138</v>
      </c>
      <c r="J16" s="2">
        <f t="shared" si="0"/>
        <v>576</v>
      </c>
      <c r="K16" s="12"/>
      <c r="P16" s="10" t="s">
        <v>794</v>
      </c>
    </row>
    <row r="17" ht="17" spans="1:16">
      <c r="A17" s="1" t="s">
        <v>795</v>
      </c>
      <c r="B17" s="518"/>
      <c r="C17" s="2">
        <v>30</v>
      </c>
      <c r="D17" s="2">
        <v>15</v>
      </c>
      <c r="E17" s="2">
        <v>30</v>
      </c>
      <c r="F17" s="2">
        <v>0</v>
      </c>
      <c r="G17" s="3">
        <v>190</v>
      </c>
      <c r="H17" s="4">
        <v>202</v>
      </c>
      <c r="I17" s="5">
        <v>183</v>
      </c>
      <c r="J17" s="2">
        <f t="shared" si="0"/>
        <v>575</v>
      </c>
      <c r="K17" s="12"/>
      <c r="P17" s="10" t="s">
        <v>796</v>
      </c>
    </row>
    <row r="18" ht="34" spans="1:16">
      <c r="A18" s="1" t="s">
        <v>797</v>
      </c>
      <c r="B18" s="519"/>
      <c r="C18" s="2">
        <v>30</v>
      </c>
      <c r="D18" s="2">
        <v>10</v>
      </c>
      <c r="E18" s="2">
        <v>45</v>
      </c>
      <c r="F18" s="2">
        <v>0</v>
      </c>
      <c r="G18" s="3">
        <v>192</v>
      </c>
      <c r="H18" s="4">
        <v>208</v>
      </c>
      <c r="I18" s="5">
        <v>157</v>
      </c>
      <c r="J18" s="2">
        <f t="shared" si="0"/>
        <v>557</v>
      </c>
      <c r="K18" s="12"/>
      <c r="P18" s="10" t="s">
        <v>798</v>
      </c>
    </row>
    <row r="19" ht="34" spans="1:16">
      <c r="A19" s="1" t="s">
        <v>799</v>
      </c>
      <c r="B19" s="520"/>
      <c r="C19" s="2">
        <v>30</v>
      </c>
      <c r="D19" s="2">
        <v>5</v>
      </c>
      <c r="E19" s="2">
        <v>50</v>
      </c>
      <c r="F19" s="2">
        <v>0</v>
      </c>
      <c r="G19" s="3">
        <v>192</v>
      </c>
      <c r="H19" s="4">
        <v>214</v>
      </c>
      <c r="I19" s="5">
        <v>149</v>
      </c>
      <c r="J19" s="2">
        <f t="shared" si="0"/>
        <v>555</v>
      </c>
      <c r="K19" s="12"/>
      <c r="P19" s="10" t="s">
        <v>800</v>
      </c>
    </row>
    <row r="20" ht="34" spans="1:16">
      <c r="A20" s="1" t="s">
        <v>801</v>
      </c>
      <c r="B20" s="521"/>
      <c r="C20" s="2">
        <v>28</v>
      </c>
      <c r="D20" s="2">
        <v>6</v>
      </c>
      <c r="E20" s="2">
        <v>66</v>
      </c>
      <c r="F20" s="2">
        <v>0</v>
      </c>
      <c r="G20" s="3">
        <v>210</v>
      </c>
      <c r="H20" s="4">
        <v>217</v>
      </c>
      <c r="I20" s="5">
        <v>122</v>
      </c>
      <c r="J20" s="2">
        <f t="shared" si="0"/>
        <v>549</v>
      </c>
      <c r="L20" s="17"/>
    </row>
    <row r="21" ht="17" spans="1:16">
      <c r="A21" s="1" t="s">
        <v>802</v>
      </c>
      <c r="B21" s="522"/>
      <c r="C21" s="2">
        <v>49</v>
      </c>
      <c r="D21" s="2">
        <v>5</v>
      </c>
      <c r="E21" s="2">
        <v>37</v>
      </c>
      <c r="F21" s="2">
        <v>0</v>
      </c>
      <c r="G21" s="3">
        <v>164</v>
      </c>
      <c r="H21" s="4">
        <v>202</v>
      </c>
      <c r="I21" s="5">
        <v>182</v>
      </c>
      <c r="J21" s="2">
        <f t="shared" si="0"/>
        <v>548</v>
      </c>
      <c r="L21" s="17"/>
    </row>
    <row r="22" ht="34" spans="1:16">
      <c r="A22" s="1" t="s">
        <v>803</v>
      </c>
      <c r="B22" s="523"/>
      <c r="C22" s="2">
        <v>47</v>
      </c>
      <c r="D22" s="2">
        <v>0</v>
      </c>
      <c r="E22" s="2">
        <v>49</v>
      </c>
      <c r="F22" s="2">
        <v>0</v>
      </c>
      <c r="G22" s="3">
        <v>173</v>
      </c>
      <c r="H22" s="4">
        <v>213</v>
      </c>
      <c r="I22" s="5">
        <v>162</v>
      </c>
      <c r="J22" s="2">
        <f t="shared" si="0"/>
        <v>548</v>
      </c>
      <c r="L22" s="17"/>
    </row>
    <row r="23" ht="51" spans="1:16">
      <c r="A23" s="1" t="s">
        <v>804</v>
      </c>
      <c r="B23" s="524"/>
      <c r="C23" s="2">
        <v>35</v>
      </c>
      <c r="D23" s="2">
        <v>20</v>
      </c>
      <c r="E23" s="2">
        <v>35</v>
      </c>
      <c r="F23" s="2">
        <v>0</v>
      </c>
      <c r="G23" s="3">
        <v>179</v>
      </c>
      <c r="H23" s="4">
        <v>189</v>
      </c>
      <c r="I23" s="5">
        <v>169</v>
      </c>
      <c r="J23" s="2">
        <f t="shared" si="0"/>
        <v>537</v>
      </c>
      <c r="K23" s="12"/>
      <c r="P23" s="10" t="s">
        <v>805</v>
      </c>
    </row>
    <row r="24" ht="17" spans="1:16">
      <c r="A24" s="1" t="s">
        <v>806</v>
      </c>
      <c r="B24" s="525"/>
      <c r="C24" s="2">
        <v>44</v>
      </c>
      <c r="D24" s="2">
        <v>0</v>
      </c>
      <c r="E24" s="2">
        <v>46</v>
      </c>
      <c r="F24" s="2">
        <v>0</v>
      </c>
      <c r="G24" s="3">
        <v>127</v>
      </c>
      <c r="H24" s="4">
        <v>236</v>
      </c>
      <c r="I24" s="5">
        <v>173</v>
      </c>
      <c r="J24" s="2">
        <f t="shared" si="0"/>
        <v>536</v>
      </c>
      <c r="M24" s="12"/>
      <c r="P24" s="10" t="s">
        <v>807</v>
      </c>
    </row>
    <row r="25" ht="17" spans="1:16">
      <c r="A25" s="1" t="s">
        <v>808</v>
      </c>
      <c r="B25" s="526"/>
      <c r="C25" s="2">
        <v>53</v>
      </c>
      <c r="D25" s="2">
        <v>1</v>
      </c>
      <c r="E25" s="2">
        <v>44</v>
      </c>
      <c r="F25" s="2">
        <v>0</v>
      </c>
      <c r="G25" s="3">
        <v>158</v>
      </c>
      <c r="H25" s="4">
        <v>204</v>
      </c>
      <c r="I25" s="5">
        <v>171</v>
      </c>
      <c r="J25" s="2">
        <f t="shared" si="0"/>
        <v>533</v>
      </c>
      <c r="L25" s="17"/>
    </row>
    <row r="26" ht="51" spans="1:16">
      <c r="A26" s="232" t="s">
        <v>809</v>
      </c>
      <c r="B26" s="527"/>
      <c r="C26" s="2">
        <v>40</v>
      </c>
      <c r="D26" s="2">
        <v>20</v>
      </c>
      <c r="E26" s="2">
        <v>30</v>
      </c>
      <c r="F26" s="2">
        <v>0</v>
      </c>
      <c r="G26" s="3">
        <v>166</v>
      </c>
      <c r="H26" s="4">
        <v>186</v>
      </c>
      <c r="I26" s="5">
        <v>177</v>
      </c>
      <c r="J26" s="2">
        <f t="shared" si="0"/>
        <v>529</v>
      </c>
      <c r="K26" s="12"/>
      <c r="P26" s="10" t="s">
        <v>810</v>
      </c>
    </row>
    <row r="27" ht="17" spans="1:16">
      <c r="A27" s="1" t="s">
        <v>811</v>
      </c>
      <c r="B27" s="528"/>
      <c r="C27" s="2">
        <v>25</v>
      </c>
      <c r="D27" s="2">
        <v>10</v>
      </c>
      <c r="E27" s="2">
        <v>65</v>
      </c>
      <c r="F27" s="2">
        <v>0</v>
      </c>
      <c r="G27" s="3">
        <v>205</v>
      </c>
      <c r="H27" s="4">
        <v>209</v>
      </c>
      <c r="I27" s="5">
        <v>113</v>
      </c>
      <c r="J27" s="2">
        <f t="shared" si="0"/>
        <v>527</v>
      </c>
      <c r="K27" s="12"/>
      <c r="P27" s="10" t="s">
        <v>812</v>
      </c>
    </row>
    <row r="28" ht="34" spans="1:16">
      <c r="A28" s="1" t="s">
        <v>813</v>
      </c>
      <c r="B28" s="529"/>
      <c r="C28" s="2">
        <v>44</v>
      </c>
      <c r="D28" s="2">
        <v>3</v>
      </c>
      <c r="E28" s="2">
        <v>61</v>
      </c>
      <c r="F28" s="2">
        <v>0</v>
      </c>
      <c r="G28" s="3">
        <v>178</v>
      </c>
      <c r="H28" s="4">
        <v>207</v>
      </c>
      <c r="I28" s="5">
        <v>135</v>
      </c>
      <c r="J28" s="2">
        <f t="shared" si="0"/>
        <v>520</v>
      </c>
      <c r="L28" s="17"/>
    </row>
    <row r="29" ht="34" spans="1:16">
      <c r="A29" s="1" t="s">
        <v>814</v>
      </c>
      <c r="B29" s="530"/>
      <c r="C29" s="2">
        <v>52</v>
      </c>
      <c r="D29" s="2">
        <v>11</v>
      </c>
      <c r="E29" s="2">
        <v>37</v>
      </c>
      <c r="F29" s="2">
        <v>0</v>
      </c>
      <c r="G29" s="3">
        <v>154</v>
      </c>
      <c r="H29" s="4">
        <v>190</v>
      </c>
      <c r="I29" s="5">
        <v>175</v>
      </c>
      <c r="J29" s="2">
        <f t="shared" si="0"/>
        <v>519</v>
      </c>
      <c r="L29" s="17"/>
    </row>
    <row r="30" ht="17" spans="1:16">
      <c r="A30" s="1" t="s">
        <v>815</v>
      </c>
      <c r="B30" s="531"/>
      <c r="C30" s="2">
        <v>42</v>
      </c>
      <c r="D30" s="2">
        <v>3</v>
      </c>
      <c r="E30" s="2">
        <v>67</v>
      </c>
      <c r="F30" s="2">
        <v>0</v>
      </c>
      <c r="G30" s="3">
        <v>183</v>
      </c>
      <c r="H30" s="4">
        <v>208</v>
      </c>
      <c r="I30" s="5">
        <v>122</v>
      </c>
      <c r="J30" s="2">
        <f t="shared" si="0"/>
        <v>513</v>
      </c>
      <c r="L30" s="17"/>
    </row>
    <row r="31" ht="17" spans="1:16">
      <c r="A31" s="1" t="s">
        <v>816</v>
      </c>
      <c r="B31" s="532"/>
      <c r="C31" s="2">
        <v>64</v>
      </c>
      <c r="D31" s="2">
        <v>0</v>
      </c>
      <c r="E31" s="2">
        <v>46</v>
      </c>
      <c r="F31" s="2">
        <v>0</v>
      </c>
      <c r="G31" s="3">
        <v>131</v>
      </c>
      <c r="H31" s="4">
        <v>203</v>
      </c>
      <c r="I31" s="5">
        <v>172</v>
      </c>
      <c r="J31" s="2">
        <f t="shared" si="0"/>
        <v>506</v>
      </c>
      <c r="L31" s="17"/>
    </row>
    <row r="32" ht="17" spans="1:16">
      <c r="A32" s="1" t="s">
        <v>817</v>
      </c>
      <c r="B32" s="533"/>
      <c r="C32" s="2">
        <v>40</v>
      </c>
      <c r="D32" s="2">
        <v>15</v>
      </c>
      <c r="E32" s="2">
        <v>50</v>
      </c>
      <c r="F32" s="2">
        <v>0</v>
      </c>
      <c r="G32" s="3">
        <v>168</v>
      </c>
      <c r="H32" s="4">
        <v>191</v>
      </c>
      <c r="I32" s="5">
        <v>143</v>
      </c>
      <c r="J32" s="2">
        <f t="shared" si="0"/>
        <v>502</v>
      </c>
      <c r="K32" s="12" t="s">
        <v>60</v>
      </c>
      <c r="P32" s="10" t="s">
        <v>818</v>
      </c>
    </row>
    <row r="33" ht="17" spans="1:16">
      <c r="A33" s="1" t="s">
        <v>819</v>
      </c>
      <c r="B33" s="534"/>
      <c r="C33" s="2">
        <v>41</v>
      </c>
      <c r="D33" s="2">
        <v>4</v>
      </c>
      <c r="E33" s="2">
        <v>76</v>
      </c>
      <c r="F33" s="2">
        <v>0</v>
      </c>
      <c r="G33" s="3">
        <v>186</v>
      </c>
      <c r="H33" s="4">
        <v>207</v>
      </c>
      <c r="I33" s="5">
        <v>101</v>
      </c>
      <c r="J33" s="2">
        <f t="shared" si="0"/>
        <v>494</v>
      </c>
      <c r="L33" s="17"/>
    </row>
    <row r="34" ht="17" spans="1:16">
      <c r="A34" s="1" t="s">
        <v>820</v>
      </c>
      <c r="B34" s="535"/>
      <c r="C34" s="2">
        <v>40</v>
      </c>
      <c r="D34" s="2">
        <v>20</v>
      </c>
      <c r="E34" s="2">
        <v>50</v>
      </c>
      <c r="F34" s="2">
        <v>0</v>
      </c>
      <c r="G34" s="3">
        <v>168</v>
      </c>
      <c r="H34" s="4">
        <v>183</v>
      </c>
      <c r="I34" s="5">
        <v>140</v>
      </c>
      <c r="J34" s="2">
        <f t="shared" si="0"/>
        <v>491</v>
      </c>
      <c r="K34" s="12"/>
      <c r="P34" s="10" t="s">
        <v>821</v>
      </c>
    </row>
    <row r="35" ht="17" spans="1:16">
      <c r="A35" s="1" t="s">
        <v>822</v>
      </c>
      <c r="B35" s="536"/>
      <c r="C35" s="2">
        <v>55</v>
      </c>
      <c r="D35" s="2">
        <v>16</v>
      </c>
      <c r="E35" s="2">
        <v>40</v>
      </c>
      <c r="F35" s="2">
        <v>1</v>
      </c>
      <c r="G35" s="3">
        <v>146</v>
      </c>
      <c r="H35" s="4">
        <v>179</v>
      </c>
      <c r="I35" s="5">
        <v>165</v>
      </c>
      <c r="J35" s="2">
        <f t="shared" si="0"/>
        <v>490</v>
      </c>
      <c r="L35" s="17"/>
    </row>
    <row r="36" ht="34" spans="1:16">
      <c r="A36" s="1" t="s">
        <v>823</v>
      </c>
      <c r="B36" s="537"/>
      <c r="C36" s="2">
        <v>30</v>
      </c>
      <c r="D36" s="2">
        <v>0</v>
      </c>
      <c r="E36" s="2">
        <v>80</v>
      </c>
      <c r="F36" s="2">
        <v>0</v>
      </c>
      <c r="G36" s="3">
        <v>195</v>
      </c>
      <c r="H36" s="4">
        <v>217</v>
      </c>
      <c r="I36" s="5">
        <v>78</v>
      </c>
      <c r="J36" s="2">
        <f t="shared" ref="J36:J66" si="1">G36+H36+I36</f>
        <v>490</v>
      </c>
      <c r="K36" s="12"/>
      <c r="P36" s="10" t="s">
        <v>824</v>
      </c>
    </row>
    <row r="37" ht="17" spans="1:16">
      <c r="A37" s="1" t="s">
        <v>825</v>
      </c>
      <c r="B37" s="538"/>
      <c r="C37" s="2">
        <v>45</v>
      </c>
      <c r="D37" s="2">
        <v>20</v>
      </c>
      <c r="E37" s="2">
        <v>45</v>
      </c>
      <c r="F37" s="2">
        <v>0</v>
      </c>
      <c r="G37" s="3">
        <v>155</v>
      </c>
      <c r="H37" s="4">
        <v>180</v>
      </c>
      <c r="I37" s="5">
        <v>150</v>
      </c>
      <c r="J37" s="2">
        <f t="shared" si="1"/>
        <v>485</v>
      </c>
      <c r="K37" s="12"/>
      <c r="P37" s="10" t="s">
        <v>826</v>
      </c>
    </row>
    <row r="38" ht="17" spans="1:16">
      <c r="A38" s="1" t="s">
        <v>827</v>
      </c>
      <c r="B38" s="539"/>
      <c r="C38" s="2">
        <v>40</v>
      </c>
      <c r="D38" s="2">
        <v>15</v>
      </c>
      <c r="E38" s="2">
        <v>60</v>
      </c>
      <c r="F38" s="2">
        <v>0</v>
      </c>
      <c r="G38" s="3">
        <v>169</v>
      </c>
      <c r="H38" s="4">
        <v>190</v>
      </c>
      <c r="I38" s="5">
        <v>123</v>
      </c>
      <c r="J38" s="2">
        <f t="shared" si="1"/>
        <v>482</v>
      </c>
      <c r="K38" s="12"/>
      <c r="P38" s="10" t="s">
        <v>828</v>
      </c>
    </row>
    <row r="39" ht="135" spans="1:16">
      <c r="A39" s="1" t="s">
        <v>829</v>
      </c>
      <c r="B39" s="540"/>
      <c r="C39" s="2">
        <v>40</v>
      </c>
      <c r="D39" s="2">
        <v>0</v>
      </c>
      <c r="E39" s="2">
        <v>62</v>
      </c>
      <c r="F39" s="2">
        <v>8</v>
      </c>
      <c r="G39" s="3">
        <v>160</v>
      </c>
      <c r="H39" s="4">
        <v>199</v>
      </c>
      <c r="I39" s="5">
        <v>119</v>
      </c>
      <c r="J39" s="2">
        <f t="shared" si="1"/>
        <v>478</v>
      </c>
      <c r="M39" s="12" t="s">
        <v>830</v>
      </c>
      <c r="N39" s="14"/>
      <c r="O39" s="9"/>
      <c r="P39" s="10" t="s">
        <v>831</v>
      </c>
    </row>
    <row r="40" ht="168" spans="1:16">
      <c r="A40" s="1" t="s">
        <v>832</v>
      </c>
      <c r="B40" s="541"/>
      <c r="C40" s="2">
        <v>59</v>
      </c>
      <c r="D40" s="2">
        <v>0</v>
      </c>
      <c r="E40" s="2">
        <v>47</v>
      </c>
      <c r="F40" s="2">
        <v>0</v>
      </c>
      <c r="G40" s="3">
        <v>61</v>
      </c>
      <c r="H40" s="4">
        <v>225</v>
      </c>
      <c r="I40" s="5">
        <v>173</v>
      </c>
      <c r="J40" s="2">
        <f t="shared" si="1"/>
        <v>459</v>
      </c>
      <c r="M40" s="19"/>
      <c r="O40" s="9" t="s">
        <v>833</v>
      </c>
      <c r="P40" s="10" t="s">
        <v>834</v>
      </c>
    </row>
    <row r="41" ht="17" spans="1:16">
      <c r="A41" s="1" t="s">
        <v>835</v>
      </c>
      <c r="B41" s="542"/>
      <c r="C41" s="2">
        <v>26</v>
      </c>
      <c r="D41" s="2">
        <v>0</v>
      </c>
      <c r="E41" s="2">
        <v>100</v>
      </c>
      <c r="F41" s="2">
        <v>0</v>
      </c>
      <c r="G41" s="3">
        <v>201</v>
      </c>
      <c r="H41" s="4">
        <v>221</v>
      </c>
      <c r="I41" s="5">
        <v>34</v>
      </c>
      <c r="J41" s="2">
        <f t="shared" si="1"/>
        <v>456</v>
      </c>
      <c r="M41" s="12"/>
      <c r="P41" s="10" t="s">
        <v>836</v>
      </c>
    </row>
    <row r="42" ht="34" spans="1:16">
      <c r="A42" s="1" t="s">
        <v>837</v>
      </c>
      <c r="B42" s="543"/>
      <c r="C42" s="2">
        <v>38</v>
      </c>
      <c r="D42" s="2">
        <v>8</v>
      </c>
      <c r="E42" s="2">
        <v>94</v>
      </c>
      <c r="F42" s="2">
        <v>1</v>
      </c>
      <c r="G42" s="3">
        <v>190</v>
      </c>
      <c r="H42" s="4">
        <v>201</v>
      </c>
      <c r="I42" s="5">
        <v>54</v>
      </c>
      <c r="J42" s="2">
        <f t="shared" si="1"/>
        <v>445</v>
      </c>
      <c r="L42" s="17"/>
    </row>
    <row r="43" ht="17" spans="1:16">
      <c r="A43" s="1" t="s">
        <v>838</v>
      </c>
      <c r="B43" s="544"/>
      <c r="C43" s="2">
        <v>31</v>
      </c>
      <c r="D43" s="2">
        <v>0</v>
      </c>
      <c r="E43" s="2">
        <v>100</v>
      </c>
      <c r="F43" s="2">
        <v>0</v>
      </c>
      <c r="G43" s="3">
        <v>189</v>
      </c>
      <c r="H43" s="4">
        <v>221</v>
      </c>
      <c r="I43" s="5">
        <v>34</v>
      </c>
      <c r="J43" s="2">
        <f t="shared" si="1"/>
        <v>444</v>
      </c>
      <c r="M43" s="12"/>
      <c r="P43" s="10" t="s">
        <v>839</v>
      </c>
    </row>
    <row r="44" ht="17" spans="1:16">
      <c r="A44" s="1" t="s">
        <v>840</v>
      </c>
      <c r="B44" s="545"/>
      <c r="C44" s="2">
        <v>35</v>
      </c>
      <c r="D44" s="2">
        <v>0</v>
      </c>
      <c r="E44" s="2">
        <v>90</v>
      </c>
      <c r="F44" s="2">
        <v>0</v>
      </c>
      <c r="G44" s="3">
        <v>183</v>
      </c>
      <c r="H44" s="4">
        <v>211</v>
      </c>
      <c r="I44" s="5">
        <v>50</v>
      </c>
      <c r="J44" s="2">
        <f t="shared" si="1"/>
        <v>444</v>
      </c>
      <c r="K44" s="12"/>
      <c r="P44" s="10" t="s">
        <v>841</v>
      </c>
    </row>
    <row r="45" ht="17" spans="1:16">
      <c r="A45" s="1" t="s">
        <v>842</v>
      </c>
      <c r="B45" s="546"/>
      <c r="C45" s="2">
        <v>45</v>
      </c>
      <c r="D45" s="2">
        <v>0</v>
      </c>
      <c r="E45" s="2">
        <v>87</v>
      </c>
      <c r="F45" s="2">
        <v>0</v>
      </c>
      <c r="G45" s="3">
        <v>150</v>
      </c>
      <c r="H45" s="4">
        <v>206</v>
      </c>
      <c r="I45" s="5">
        <v>84</v>
      </c>
      <c r="J45" s="2">
        <f t="shared" si="1"/>
        <v>440</v>
      </c>
      <c r="M45" s="12"/>
      <c r="P45" s="10" t="s">
        <v>843</v>
      </c>
    </row>
    <row r="46" ht="17" spans="1:16">
      <c r="A46" s="1" t="s">
        <v>844</v>
      </c>
      <c r="B46" s="547"/>
      <c r="C46" s="2">
        <v>62</v>
      </c>
      <c r="D46" s="2">
        <v>0</v>
      </c>
      <c r="E46" s="2">
        <v>76</v>
      </c>
      <c r="F46" s="2">
        <v>0</v>
      </c>
      <c r="G46" s="3">
        <v>140</v>
      </c>
      <c r="H46" s="4">
        <v>194</v>
      </c>
      <c r="I46" s="5">
        <v>105</v>
      </c>
      <c r="J46" s="2">
        <f t="shared" si="1"/>
        <v>439</v>
      </c>
      <c r="L46" s="17"/>
      <c r="M46" s="19">
        <v>212242231</v>
      </c>
      <c r="N46" s="14"/>
      <c r="P46" s="10" t="s">
        <v>845</v>
      </c>
    </row>
    <row r="47" ht="17" spans="1:16">
      <c r="A47" s="1" t="s">
        <v>846</v>
      </c>
      <c r="B47" s="548"/>
      <c r="C47" s="2">
        <v>61</v>
      </c>
      <c r="D47" s="2">
        <v>19</v>
      </c>
      <c r="E47" s="2">
        <v>52</v>
      </c>
      <c r="F47" s="2">
        <v>3</v>
      </c>
      <c r="G47" s="3">
        <v>131</v>
      </c>
      <c r="H47" s="4">
        <v>167</v>
      </c>
      <c r="I47" s="5">
        <v>141</v>
      </c>
      <c r="J47" s="2">
        <f t="shared" si="1"/>
        <v>439</v>
      </c>
      <c r="L47" s="17"/>
    </row>
    <row r="48" ht="17" spans="1:16">
      <c r="A48" s="1" t="s">
        <v>847</v>
      </c>
      <c r="B48" s="549"/>
      <c r="C48" s="2">
        <v>75</v>
      </c>
      <c r="D48" s="2">
        <v>0</v>
      </c>
      <c r="E48" s="2">
        <v>61</v>
      </c>
      <c r="F48" s="2">
        <v>0</v>
      </c>
      <c r="G48" s="3">
        <v>102</v>
      </c>
      <c r="H48" s="4">
        <v>193</v>
      </c>
      <c r="I48" s="5">
        <v>140</v>
      </c>
      <c r="J48" s="2">
        <f t="shared" si="1"/>
        <v>435</v>
      </c>
      <c r="L48" s="17"/>
    </row>
    <row r="49" ht="17" spans="1:16">
      <c r="A49" s="1" t="s">
        <v>848</v>
      </c>
      <c r="B49" s="550"/>
      <c r="C49" s="2">
        <v>36</v>
      </c>
      <c r="D49" s="2">
        <v>0</v>
      </c>
      <c r="E49" s="2">
        <v>100</v>
      </c>
      <c r="F49" s="2">
        <v>0</v>
      </c>
      <c r="G49" s="3">
        <v>175</v>
      </c>
      <c r="H49" s="4">
        <v>221</v>
      </c>
      <c r="I49" s="5">
        <v>34</v>
      </c>
      <c r="J49" s="2">
        <f t="shared" si="1"/>
        <v>430</v>
      </c>
      <c r="M49" s="12"/>
      <c r="P49" s="10" t="s">
        <v>849</v>
      </c>
    </row>
    <row r="50" ht="17" spans="1:16">
      <c r="A50" s="1" t="s">
        <v>850</v>
      </c>
      <c r="B50" s="551"/>
      <c r="C50" s="2">
        <v>75</v>
      </c>
      <c r="D50" s="2">
        <v>0</v>
      </c>
      <c r="E50" s="2">
        <v>59</v>
      </c>
      <c r="F50" s="2">
        <v>0</v>
      </c>
      <c r="G50" s="3">
        <v>104</v>
      </c>
      <c r="H50" s="4">
        <v>184</v>
      </c>
      <c r="I50" s="5">
        <v>142</v>
      </c>
      <c r="J50" s="2">
        <f t="shared" si="1"/>
        <v>430</v>
      </c>
      <c r="L50" s="17"/>
    </row>
    <row r="51" ht="17" spans="1:16">
      <c r="A51" s="1" t="s">
        <v>851</v>
      </c>
      <c r="B51" s="552"/>
      <c r="C51" s="2">
        <v>50</v>
      </c>
      <c r="D51" s="2">
        <v>30</v>
      </c>
      <c r="E51" s="2">
        <v>55</v>
      </c>
      <c r="F51" s="2">
        <v>0</v>
      </c>
      <c r="G51" s="3">
        <v>144</v>
      </c>
      <c r="H51" s="4">
        <v>160</v>
      </c>
      <c r="I51" s="5">
        <v>125</v>
      </c>
      <c r="J51" s="2">
        <f t="shared" si="1"/>
        <v>429</v>
      </c>
      <c r="K51" s="12" t="s">
        <v>60</v>
      </c>
      <c r="P51" s="10" t="s">
        <v>852</v>
      </c>
    </row>
    <row r="52" ht="51" spans="1:16">
      <c r="A52" s="1" t="s">
        <v>853</v>
      </c>
      <c r="B52" s="553"/>
      <c r="C52" s="2">
        <v>55</v>
      </c>
      <c r="D52" s="2">
        <v>30</v>
      </c>
      <c r="E52" s="2">
        <v>45</v>
      </c>
      <c r="F52" s="2">
        <v>0</v>
      </c>
      <c r="G52" s="3">
        <v>129</v>
      </c>
      <c r="H52" s="4">
        <v>157</v>
      </c>
      <c r="I52" s="5">
        <v>142</v>
      </c>
      <c r="J52" s="2">
        <f t="shared" si="1"/>
        <v>428</v>
      </c>
      <c r="K52" s="12"/>
      <c r="P52" s="10" t="s">
        <v>854</v>
      </c>
    </row>
    <row r="53" ht="17" spans="1:16">
      <c r="A53" s="1" t="s">
        <v>855</v>
      </c>
      <c r="B53" s="554"/>
      <c r="C53" s="2">
        <v>58</v>
      </c>
      <c r="D53" s="2">
        <v>1</v>
      </c>
      <c r="E53" s="2">
        <v>88</v>
      </c>
      <c r="F53" s="2">
        <v>0</v>
      </c>
      <c r="G53" s="3">
        <v>150</v>
      </c>
      <c r="H53" s="4">
        <v>194</v>
      </c>
      <c r="I53" s="5">
        <v>78</v>
      </c>
      <c r="J53" s="2">
        <f t="shared" si="1"/>
        <v>422</v>
      </c>
      <c r="L53" s="17"/>
    </row>
    <row r="54" ht="17" spans="1:16">
      <c r="A54" s="1" t="s">
        <v>856</v>
      </c>
      <c r="B54" s="555"/>
      <c r="C54" s="2">
        <v>78</v>
      </c>
      <c r="D54" s="2">
        <v>0</v>
      </c>
      <c r="E54" s="2">
        <v>62</v>
      </c>
      <c r="F54" s="2">
        <v>0</v>
      </c>
      <c r="G54" s="3">
        <v>93</v>
      </c>
      <c r="H54" s="4">
        <v>190</v>
      </c>
      <c r="I54" s="5">
        <v>138</v>
      </c>
      <c r="J54" s="2">
        <f t="shared" si="1"/>
        <v>421</v>
      </c>
      <c r="L54" s="17"/>
    </row>
    <row r="55" ht="17" spans="1:16">
      <c r="A55" s="1" t="s">
        <v>857</v>
      </c>
      <c r="B55" s="556"/>
      <c r="C55" s="2">
        <v>74</v>
      </c>
      <c r="D55" s="2">
        <v>14</v>
      </c>
      <c r="E55" s="2">
        <v>51</v>
      </c>
      <c r="F55" s="2">
        <v>1</v>
      </c>
      <c r="G55" s="3">
        <v>105</v>
      </c>
      <c r="H55" s="4">
        <v>167</v>
      </c>
      <c r="I55" s="5">
        <v>148</v>
      </c>
      <c r="J55" s="2">
        <f t="shared" si="1"/>
        <v>420</v>
      </c>
      <c r="L55" s="17"/>
    </row>
    <row r="56" ht="17" spans="1:16">
      <c r="A56" s="1" t="s">
        <v>858</v>
      </c>
      <c r="B56" s="557"/>
      <c r="C56" s="2">
        <v>55</v>
      </c>
      <c r="D56" s="2">
        <v>25</v>
      </c>
      <c r="E56" s="2">
        <v>55</v>
      </c>
      <c r="F56" s="2">
        <v>0</v>
      </c>
      <c r="G56" s="3">
        <v>129</v>
      </c>
      <c r="H56" s="4">
        <v>163</v>
      </c>
      <c r="I56" s="5">
        <v>128</v>
      </c>
      <c r="J56" s="2">
        <f t="shared" si="1"/>
        <v>420</v>
      </c>
      <c r="K56" s="12"/>
      <c r="P56" s="10" t="s">
        <v>859</v>
      </c>
    </row>
    <row r="57" ht="17" spans="1:16">
      <c r="A57" s="1" t="s">
        <v>860</v>
      </c>
      <c r="B57" s="558"/>
      <c r="C57" s="2">
        <v>63</v>
      </c>
      <c r="D57" s="2">
        <v>0</v>
      </c>
      <c r="E57" s="2">
        <v>56</v>
      </c>
      <c r="F57" s="2">
        <v>0</v>
      </c>
      <c r="G57" s="3">
        <v>42</v>
      </c>
      <c r="H57" s="4">
        <v>221</v>
      </c>
      <c r="I57" s="5">
        <v>156</v>
      </c>
      <c r="J57" s="2">
        <f t="shared" si="1"/>
        <v>419</v>
      </c>
      <c r="M57" s="12"/>
      <c r="P57" s="10" t="s">
        <v>861</v>
      </c>
    </row>
    <row r="58" ht="152" spans="1:16">
      <c r="A58" s="1" t="s">
        <v>862</v>
      </c>
      <c r="B58" s="559"/>
      <c r="C58" s="2">
        <v>45</v>
      </c>
      <c r="D58" s="2">
        <v>0</v>
      </c>
      <c r="E58" s="2">
        <v>85</v>
      </c>
      <c r="F58" s="2">
        <v>5</v>
      </c>
      <c r="G58" s="3">
        <v>152</v>
      </c>
      <c r="H58" s="4">
        <v>196</v>
      </c>
      <c r="I58" s="5">
        <v>70</v>
      </c>
      <c r="J58" s="2">
        <f t="shared" si="1"/>
        <v>418</v>
      </c>
      <c r="M58" s="12" t="s">
        <v>863</v>
      </c>
      <c r="N58" s="14"/>
      <c r="O58" s="9"/>
      <c r="P58" s="10" t="s">
        <v>864</v>
      </c>
    </row>
    <row r="59" ht="17" spans="1:16">
      <c r="A59" s="1" t="s">
        <v>865</v>
      </c>
      <c r="B59" s="560"/>
      <c r="C59" s="2">
        <v>81</v>
      </c>
      <c r="D59" s="2">
        <v>0</v>
      </c>
      <c r="E59" s="2">
        <v>62</v>
      </c>
      <c r="F59" s="2">
        <v>0</v>
      </c>
      <c r="G59" s="3">
        <v>85</v>
      </c>
      <c r="H59" s="4">
        <v>187</v>
      </c>
      <c r="I59" s="5">
        <v>138</v>
      </c>
      <c r="J59" s="2">
        <f t="shared" si="1"/>
        <v>410</v>
      </c>
      <c r="L59" s="17"/>
    </row>
    <row r="60" ht="17" spans="1:16">
      <c r="A60" s="1" t="s">
        <v>866</v>
      </c>
      <c r="B60" s="561"/>
      <c r="C60" s="2">
        <v>78</v>
      </c>
      <c r="D60" s="2">
        <v>6</v>
      </c>
      <c r="E60" s="2">
        <v>62</v>
      </c>
      <c r="F60" s="2">
        <v>0</v>
      </c>
      <c r="G60" s="3">
        <v>97</v>
      </c>
      <c r="H60" s="4">
        <v>172</v>
      </c>
      <c r="I60" s="5">
        <v>133</v>
      </c>
      <c r="J60" s="2">
        <f t="shared" si="1"/>
        <v>402</v>
      </c>
      <c r="L60" s="17"/>
    </row>
    <row r="61" ht="17" spans="1:16">
      <c r="A61" s="1" t="s">
        <v>867</v>
      </c>
      <c r="B61" s="562"/>
      <c r="C61" s="2">
        <v>86</v>
      </c>
      <c r="D61" s="2">
        <v>0</v>
      </c>
      <c r="E61" s="2">
        <v>63</v>
      </c>
      <c r="F61" s="2">
        <v>0</v>
      </c>
      <c r="G61" s="3">
        <v>69</v>
      </c>
      <c r="H61" s="4">
        <v>183</v>
      </c>
      <c r="I61" s="5">
        <v>135</v>
      </c>
      <c r="J61" s="2">
        <f t="shared" si="1"/>
        <v>387</v>
      </c>
      <c r="L61" s="17"/>
    </row>
    <row r="62" ht="17" spans="1:16">
      <c r="A62" s="1" t="s">
        <v>868</v>
      </c>
      <c r="B62" s="563"/>
      <c r="C62" s="2">
        <v>64</v>
      </c>
      <c r="D62" s="2">
        <v>0</v>
      </c>
      <c r="E62" s="2">
        <v>56</v>
      </c>
      <c r="F62" s="2">
        <v>0</v>
      </c>
      <c r="G62" s="3">
        <v>0</v>
      </c>
      <c r="H62" s="4">
        <v>224</v>
      </c>
      <c r="I62" s="5">
        <v>158</v>
      </c>
      <c r="J62" s="2">
        <f t="shared" si="1"/>
        <v>382</v>
      </c>
      <c r="M62" s="12"/>
      <c r="P62" s="10" t="s">
        <v>869</v>
      </c>
    </row>
    <row r="63" ht="17" spans="1:16">
      <c r="A63" s="1" t="s">
        <v>870</v>
      </c>
      <c r="B63" s="564"/>
      <c r="C63" s="2">
        <v>41</v>
      </c>
      <c r="D63" s="2">
        <v>0</v>
      </c>
      <c r="E63" s="2">
        <v>100</v>
      </c>
      <c r="F63" s="2">
        <v>0</v>
      </c>
      <c r="G63" s="3">
        <v>163</v>
      </c>
      <c r="H63" s="4">
        <v>217</v>
      </c>
      <c r="I63" s="5">
        <v>0</v>
      </c>
      <c r="J63" s="2">
        <f t="shared" si="1"/>
        <v>380</v>
      </c>
      <c r="M63" s="12"/>
      <c r="P63" s="10" t="s">
        <v>871</v>
      </c>
    </row>
    <row r="64" ht="17" spans="1:16">
      <c r="A64" s="1" t="s">
        <v>872</v>
      </c>
      <c r="B64" s="565"/>
      <c r="C64" s="2">
        <v>60</v>
      </c>
      <c r="D64" s="2">
        <v>40</v>
      </c>
      <c r="E64" s="2">
        <v>55</v>
      </c>
      <c r="F64" s="2">
        <v>0</v>
      </c>
      <c r="G64" s="3">
        <v>119</v>
      </c>
      <c r="H64" s="4">
        <v>138</v>
      </c>
      <c r="I64" s="5">
        <v>119</v>
      </c>
      <c r="J64" s="2">
        <f t="shared" si="1"/>
        <v>376</v>
      </c>
      <c r="K64" s="12"/>
      <c r="P64" s="10" t="s">
        <v>873</v>
      </c>
    </row>
    <row r="65" ht="17" spans="1:16">
      <c r="A65" s="1" t="s">
        <v>874</v>
      </c>
      <c r="B65" s="566"/>
      <c r="C65" s="2">
        <v>45</v>
      </c>
      <c r="D65" s="2">
        <v>10</v>
      </c>
      <c r="E65" s="2">
        <v>100</v>
      </c>
      <c r="F65" s="2">
        <v>0</v>
      </c>
      <c r="G65" s="3">
        <v>158</v>
      </c>
      <c r="H65" s="4">
        <v>188</v>
      </c>
      <c r="I65" s="5">
        <v>25</v>
      </c>
      <c r="J65" s="2">
        <f t="shared" si="1"/>
        <v>371</v>
      </c>
      <c r="K65" s="12"/>
      <c r="P65" s="10" t="s">
        <v>875</v>
      </c>
    </row>
    <row r="66" ht="17" spans="1:16">
      <c r="A66" s="1" t="s">
        <v>876</v>
      </c>
      <c r="B66" s="567"/>
      <c r="C66" s="2">
        <v>60</v>
      </c>
      <c r="D66" s="2">
        <v>40</v>
      </c>
      <c r="E66" s="2">
        <v>60</v>
      </c>
      <c r="F66" s="2">
        <v>0</v>
      </c>
      <c r="G66" s="3">
        <v>120</v>
      </c>
      <c r="H66" s="4">
        <v>138</v>
      </c>
      <c r="I66" s="5">
        <v>111</v>
      </c>
      <c r="J66" s="2">
        <f t="shared" si="1"/>
        <v>369</v>
      </c>
      <c r="K66" s="12"/>
      <c r="P66" s="10" t="s">
        <v>877</v>
      </c>
    </row>
    <row r="67" ht="34" spans="1:16">
      <c r="A67" s="1" t="s">
        <v>878</v>
      </c>
      <c r="B67" s="568"/>
      <c r="C67" s="2">
        <v>50</v>
      </c>
      <c r="D67" s="2">
        <v>40</v>
      </c>
      <c r="E67" s="2">
        <v>80</v>
      </c>
      <c r="F67" s="2">
        <v>0</v>
      </c>
      <c r="G67" s="3">
        <v>147</v>
      </c>
      <c r="H67" s="4">
        <v>143</v>
      </c>
      <c r="I67" s="5">
        <v>76</v>
      </c>
      <c r="J67" s="2">
        <f t="shared" ref="J67:J101" si="2">G67+H67+I67</f>
        <v>366</v>
      </c>
      <c r="K67" s="12" t="s">
        <v>879</v>
      </c>
      <c r="M67" s="12" t="s">
        <v>880</v>
      </c>
      <c r="P67" s="10" t="s">
        <v>881</v>
      </c>
    </row>
    <row r="68" ht="17" spans="1:16">
      <c r="A68" s="1" t="s">
        <v>882</v>
      </c>
      <c r="B68" s="569"/>
      <c r="C68" s="2">
        <v>66</v>
      </c>
      <c r="D68" s="2">
        <v>29</v>
      </c>
      <c r="E68" s="2">
        <v>58</v>
      </c>
      <c r="F68" s="2">
        <v>12</v>
      </c>
      <c r="G68" s="3">
        <v>110</v>
      </c>
      <c r="H68" s="4">
        <v>139</v>
      </c>
      <c r="I68" s="5">
        <v>116</v>
      </c>
      <c r="J68" s="2">
        <f t="shared" si="2"/>
        <v>365</v>
      </c>
      <c r="L68" s="17"/>
    </row>
    <row r="69" ht="17" spans="1:16">
      <c r="A69" s="1" t="s">
        <v>883</v>
      </c>
      <c r="B69" s="570"/>
      <c r="C69" s="2">
        <v>65</v>
      </c>
      <c r="D69" s="2">
        <v>35</v>
      </c>
      <c r="E69" s="2">
        <v>65</v>
      </c>
      <c r="F69" s="2">
        <v>0</v>
      </c>
      <c r="G69" s="3">
        <v>105</v>
      </c>
      <c r="H69" s="4">
        <v>142</v>
      </c>
      <c r="I69" s="5">
        <v>106</v>
      </c>
      <c r="J69" s="2">
        <f t="shared" si="2"/>
        <v>353</v>
      </c>
      <c r="K69" s="12"/>
      <c r="P69" s="10" t="s">
        <v>884</v>
      </c>
    </row>
    <row r="70" ht="17" spans="1:16">
      <c r="A70" s="1" t="s">
        <v>885</v>
      </c>
      <c r="B70" s="571"/>
      <c r="C70" s="2">
        <v>55</v>
      </c>
      <c r="D70" s="2">
        <v>40</v>
      </c>
      <c r="E70" s="2">
        <v>80</v>
      </c>
      <c r="F70" s="2">
        <v>0</v>
      </c>
      <c r="G70" s="3">
        <v>134</v>
      </c>
      <c r="H70" s="4">
        <v>140</v>
      </c>
      <c r="I70" s="5">
        <v>78</v>
      </c>
      <c r="J70" s="2">
        <f t="shared" si="2"/>
        <v>352</v>
      </c>
      <c r="K70" s="12"/>
      <c r="P70" s="10" t="s">
        <v>886</v>
      </c>
    </row>
    <row r="71" ht="152" spans="1:16">
      <c r="A71" s="1" t="s">
        <v>887</v>
      </c>
      <c r="B71" s="572"/>
      <c r="C71" s="2">
        <v>60</v>
      </c>
      <c r="D71" s="2">
        <v>26</v>
      </c>
      <c r="E71" s="2">
        <v>84</v>
      </c>
      <c r="F71" s="2">
        <v>0</v>
      </c>
      <c r="G71" s="3">
        <v>118</v>
      </c>
      <c r="H71" s="4">
        <v>156</v>
      </c>
      <c r="I71" s="5">
        <v>76</v>
      </c>
      <c r="J71" s="2">
        <f t="shared" si="2"/>
        <v>350</v>
      </c>
      <c r="M71" s="12" t="s">
        <v>888</v>
      </c>
      <c r="O71" s="9"/>
      <c r="P71" s="10" t="s">
        <v>889</v>
      </c>
    </row>
    <row r="72" ht="168" spans="1:16">
      <c r="A72" s="1" t="s">
        <v>890</v>
      </c>
      <c r="B72" s="573"/>
      <c r="C72" s="2">
        <v>92</v>
      </c>
      <c r="D72" s="2">
        <v>0</v>
      </c>
      <c r="E72" s="2">
        <v>64</v>
      </c>
      <c r="F72" s="2">
        <v>0</v>
      </c>
      <c r="G72" s="3">
        <v>43</v>
      </c>
      <c r="H72" s="4">
        <v>174</v>
      </c>
      <c r="I72" s="5">
        <v>133</v>
      </c>
      <c r="J72" s="2">
        <f t="shared" si="2"/>
        <v>350</v>
      </c>
      <c r="L72" s="17"/>
      <c r="M72" s="19">
        <v>84150136</v>
      </c>
      <c r="O72" s="28">
        <v>121183165</v>
      </c>
      <c r="P72" s="10" t="s">
        <v>891</v>
      </c>
    </row>
    <row r="73" ht="34" spans="1:16">
      <c r="A73" s="1" t="s">
        <v>892</v>
      </c>
      <c r="B73" s="574"/>
      <c r="C73" s="2">
        <v>81</v>
      </c>
      <c r="D73" s="2">
        <v>19</v>
      </c>
      <c r="E73" s="2">
        <v>67</v>
      </c>
      <c r="F73" s="2">
        <v>4</v>
      </c>
      <c r="G73" s="3">
        <v>87</v>
      </c>
      <c r="H73" s="4">
        <v>149</v>
      </c>
      <c r="I73" s="5">
        <v>114</v>
      </c>
      <c r="J73" s="2">
        <f t="shared" si="2"/>
        <v>350</v>
      </c>
      <c r="L73" s="17"/>
    </row>
    <row r="74" ht="185" spans="1:16">
      <c r="A74" s="1" t="s">
        <v>893</v>
      </c>
      <c r="B74" s="575"/>
      <c r="C74" s="2">
        <v>70</v>
      </c>
      <c r="D74" s="2">
        <v>25</v>
      </c>
      <c r="E74" s="2">
        <v>62</v>
      </c>
      <c r="F74" s="2">
        <v>2</v>
      </c>
      <c r="G74" s="3">
        <v>81</v>
      </c>
      <c r="H74" s="4">
        <v>150</v>
      </c>
      <c r="I74" s="5">
        <v>115</v>
      </c>
      <c r="J74" s="2">
        <f t="shared" si="2"/>
        <v>346</v>
      </c>
      <c r="M74" s="12" t="s">
        <v>894</v>
      </c>
      <c r="O74" s="9"/>
      <c r="P74" s="6" t="s">
        <v>895</v>
      </c>
    </row>
    <row r="75" ht="17" spans="1:16">
      <c r="A75" s="1" t="s">
        <v>896</v>
      </c>
      <c r="B75" s="576"/>
      <c r="C75" s="2">
        <v>95</v>
      </c>
      <c r="D75" s="2">
        <v>0</v>
      </c>
      <c r="E75" s="2">
        <v>52</v>
      </c>
      <c r="F75" s="2">
        <v>0</v>
      </c>
      <c r="G75" s="3">
        <v>18</v>
      </c>
      <c r="H75" s="4">
        <v>170</v>
      </c>
      <c r="I75" s="5">
        <v>156</v>
      </c>
      <c r="J75" s="2">
        <f t="shared" si="2"/>
        <v>344</v>
      </c>
      <c r="L75" s="17"/>
    </row>
    <row r="76" ht="17" spans="1:16">
      <c r="A76" s="1" t="s">
        <v>897</v>
      </c>
      <c r="B76" s="577"/>
      <c r="C76" s="2">
        <v>65</v>
      </c>
      <c r="D76" s="2">
        <v>30</v>
      </c>
      <c r="E76" s="2">
        <v>75</v>
      </c>
      <c r="F76" s="2">
        <v>0</v>
      </c>
      <c r="G76" s="3">
        <v>104</v>
      </c>
      <c r="H76" s="4">
        <v>148</v>
      </c>
      <c r="I76" s="5">
        <v>92</v>
      </c>
      <c r="J76" s="2">
        <f t="shared" si="2"/>
        <v>344</v>
      </c>
      <c r="K76" s="12"/>
      <c r="P76" s="10" t="s">
        <v>898</v>
      </c>
    </row>
    <row r="77" ht="17" spans="1:16">
      <c r="A77" s="1" t="s">
        <v>899</v>
      </c>
      <c r="B77" s="578"/>
      <c r="C77" s="2">
        <v>60</v>
      </c>
      <c r="D77" s="2">
        <v>30</v>
      </c>
      <c r="E77" s="2">
        <v>85</v>
      </c>
      <c r="F77" s="2">
        <v>0</v>
      </c>
      <c r="G77" s="3">
        <v>119</v>
      </c>
      <c r="H77" s="4">
        <v>150</v>
      </c>
      <c r="I77" s="5">
        <v>73</v>
      </c>
      <c r="J77" s="2">
        <f t="shared" si="2"/>
        <v>342</v>
      </c>
      <c r="K77" s="12"/>
      <c r="P77" s="10" t="s">
        <v>900</v>
      </c>
    </row>
    <row r="78" ht="17" spans="1:16">
      <c r="A78" s="1" t="s">
        <v>901</v>
      </c>
      <c r="B78" s="579"/>
      <c r="C78" s="2">
        <v>55</v>
      </c>
      <c r="D78" s="2">
        <v>20</v>
      </c>
      <c r="E78" s="2">
        <v>100</v>
      </c>
      <c r="F78" s="2">
        <v>0</v>
      </c>
      <c r="G78" s="3">
        <v>132</v>
      </c>
      <c r="H78" s="4">
        <v>167</v>
      </c>
      <c r="I78" s="5">
        <v>41</v>
      </c>
      <c r="J78" s="2">
        <f t="shared" si="2"/>
        <v>340</v>
      </c>
      <c r="K78" s="12"/>
      <c r="P78" s="10" t="s">
        <v>902</v>
      </c>
    </row>
    <row r="79" ht="118" spans="1:16">
      <c r="A79" s="1" t="s">
        <v>903</v>
      </c>
      <c r="B79" s="580"/>
      <c r="C79" s="2">
        <v>45</v>
      </c>
      <c r="D79" s="2">
        <v>0</v>
      </c>
      <c r="E79" s="2">
        <v>90</v>
      </c>
      <c r="F79" s="2">
        <v>28</v>
      </c>
      <c r="G79" s="3">
        <v>125</v>
      </c>
      <c r="H79" s="4">
        <v>163</v>
      </c>
      <c r="I79" s="5">
        <v>45</v>
      </c>
      <c r="J79" s="2">
        <f t="shared" si="2"/>
        <v>333</v>
      </c>
      <c r="O79" s="9"/>
      <c r="P79" s="10" t="s">
        <v>904</v>
      </c>
    </row>
    <row r="80" ht="135" spans="1:16">
      <c r="A80" s="1" t="s">
        <v>905</v>
      </c>
      <c r="B80" s="581"/>
      <c r="C80" s="2">
        <v>65</v>
      </c>
      <c r="D80" s="2">
        <v>15</v>
      </c>
      <c r="E80" s="2">
        <v>90</v>
      </c>
      <c r="F80" s="2">
        <v>0</v>
      </c>
      <c r="G80" s="3">
        <v>99</v>
      </c>
      <c r="H80" s="4">
        <v>165</v>
      </c>
      <c r="I80" s="5">
        <v>69</v>
      </c>
      <c r="J80" s="2">
        <f t="shared" si="2"/>
        <v>333</v>
      </c>
      <c r="M80" s="12" t="s">
        <v>906</v>
      </c>
      <c r="O80" s="9"/>
      <c r="P80" s="10" t="s">
        <v>907</v>
      </c>
    </row>
    <row r="81" ht="17" spans="1:16">
      <c r="A81" s="1" t="s">
        <v>908</v>
      </c>
      <c r="B81" s="582"/>
      <c r="C81" s="2">
        <v>65</v>
      </c>
      <c r="D81" s="2">
        <v>35</v>
      </c>
      <c r="E81" s="2">
        <v>80</v>
      </c>
      <c r="F81" s="2">
        <v>0</v>
      </c>
      <c r="G81" s="3">
        <v>106</v>
      </c>
      <c r="H81" s="4">
        <v>141</v>
      </c>
      <c r="I81" s="5">
        <v>82</v>
      </c>
      <c r="J81" s="2">
        <f t="shared" si="2"/>
        <v>329</v>
      </c>
      <c r="K81" s="12"/>
      <c r="P81" s="10" t="s">
        <v>909</v>
      </c>
    </row>
    <row r="82" ht="17" spans="1:16">
      <c r="A82" s="1" t="s">
        <v>910</v>
      </c>
      <c r="B82" s="583"/>
      <c r="C82" s="2">
        <v>96</v>
      </c>
      <c r="D82" s="2">
        <v>0</v>
      </c>
      <c r="E82" s="2">
        <v>64</v>
      </c>
      <c r="F82" s="2">
        <v>0</v>
      </c>
      <c r="G82" s="3">
        <v>27</v>
      </c>
      <c r="H82" s="4">
        <v>167</v>
      </c>
      <c r="I82" s="5">
        <v>132</v>
      </c>
      <c r="J82" s="2">
        <f t="shared" si="2"/>
        <v>326</v>
      </c>
      <c r="L82" s="17"/>
      <c r="N82" s="14"/>
      <c r="P82" s="10" t="s">
        <v>911</v>
      </c>
    </row>
    <row r="83" ht="17" spans="1:16">
      <c r="A83" s="1" t="s">
        <v>912</v>
      </c>
      <c r="B83" s="584"/>
      <c r="C83" s="2">
        <v>65</v>
      </c>
      <c r="D83" s="2">
        <v>40</v>
      </c>
      <c r="E83" s="2">
        <v>80</v>
      </c>
      <c r="F83" s="2">
        <v>0</v>
      </c>
      <c r="G83" s="3">
        <v>108</v>
      </c>
      <c r="H83" s="4">
        <v>134</v>
      </c>
      <c r="I83" s="5">
        <v>80</v>
      </c>
      <c r="J83" s="2">
        <f t="shared" si="2"/>
        <v>322</v>
      </c>
      <c r="K83" s="12" t="s">
        <v>60</v>
      </c>
      <c r="P83" s="10" t="s">
        <v>913</v>
      </c>
    </row>
    <row r="84" ht="17" spans="1:16">
      <c r="A84" s="1" t="s">
        <v>914</v>
      </c>
      <c r="B84" s="585"/>
      <c r="C84" s="2">
        <v>70</v>
      </c>
      <c r="D84" s="2">
        <v>50</v>
      </c>
      <c r="E84" s="2">
        <v>60</v>
      </c>
      <c r="F84" s="2">
        <v>0</v>
      </c>
      <c r="G84" s="3">
        <v>95</v>
      </c>
      <c r="H84" s="4">
        <v>118</v>
      </c>
      <c r="I84" s="5">
        <v>106</v>
      </c>
      <c r="J84" s="2">
        <f t="shared" si="2"/>
        <v>319</v>
      </c>
      <c r="K84" s="12"/>
      <c r="P84" s="10" t="s">
        <v>915</v>
      </c>
    </row>
    <row r="85" ht="17" spans="1:16">
      <c r="A85" s="1" t="s">
        <v>916</v>
      </c>
      <c r="B85" s="586"/>
      <c r="C85" s="2">
        <v>88</v>
      </c>
      <c r="D85" s="2">
        <v>24</v>
      </c>
      <c r="E85" s="2">
        <v>61</v>
      </c>
      <c r="F85" s="2">
        <v>9</v>
      </c>
      <c r="G85" s="3">
        <v>66</v>
      </c>
      <c r="H85" s="4">
        <v>134</v>
      </c>
      <c r="I85" s="5">
        <v>117</v>
      </c>
      <c r="J85" s="2">
        <f t="shared" si="2"/>
        <v>317</v>
      </c>
      <c r="L85" s="17"/>
    </row>
    <row r="86" ht="17" spans="1:16">
      <c r="A86" s="1" t="s">
        <v>917</v>
      </c>
      <c r="B86" s="587"/>
      <c r="C86" s="2">
        <v>89</v>
      </c>
      <c r="D86" s="2">
        <v>0</v>
      </c>
      <c r="E86" s="2">
        <v>96</v>
      </c>
      <c r="F86" s="2">
        <v>0</v>
      </c>
      <c r="G86" s="3">
        <v>65</v>
      </c>
      <c r="H86" s="4">
        <v>179</v>
      </c>
      <c r="I86" s="5">
        <v>73</v>
      </c>
      <c r="J86" s="2">
        <f t="shared" si="2"/>
        <v>317</v>
      </c>
      <c r="L86" s="17"/>
    </row>
    <row r="87" ht="17" spans="1:16">
      <c r="A87" s="1" t="s">
        <v>918</v>
      </c>
      <c r="B87" s="588"/>
      <c r="C87" s="2">
        <v>79</v>
      </c>
      <c r="D87" s="2">
        <v>9</v>
      </c>
      <c r="E87" s="2">
        <v>71</v>
      </c>
      <c r="F87" s="2">
        <v>1</v>
      </c>
      <c r="G87" s="3">
        <v>33</v>
      </c>
      <c r="H87" s="4">
        <v>166</v>
      </c>
      <c r="I87" s="5">
        <v>117</v>
      </c>
      <c r="J87" s="2">
        <f t="shared" si="2"/>
        <v>316</v>
      </c>
      <c r="M87" s="12"/>
      <c r="P87" s="10" t="s">
        <v>919</v>
      </c>
    </row>
    <row r="88" ht="17" spans="1:16">
      <c r="A88" s="1" t="s">
        <v>920</v>
      </c>
      <c r="B88" s="589"/>
      <c r="C88" s="2">
        <v>96</v>
      </c>
      <c r="D88" s="2">
        <v>12</v>
      </c>
      <c r="E88" s="2">
        <v>66</v>
      </c>
      <c r="F88" s="2">
        <v>2</v>
      </c>
      <c r="G88" s="3">
        <v>44</v>
      </c>
      <c r="H88" s="4">
        <v>150</v>
      </c>
      <c r="I88" s="5">
        <v>120</v>
      </c>
      <c r="J88" s="2">
        <f t="shared" si="2"/>
        <v>314</v>
      </c>
      <c r="L88" s="17"/>
    </row>
    <row r="89" ht="17" spans="1:16">
      <c r="A89" s="1" t="s">
        <v>921</v>
      </c>
      <c r="B89" s="590"/>
      <c r="C89" s="2">
        <v>88</v>
      </c>
      <c r="D89" s="2">
        <v>0</v>
      </c>
      <c r="E89" s="2">
        <v>99</v>
      </c>
      <c r="F89" s="2">
        <v>0</v>
      </c>
      <c r="G89" s="3">
        <v>67</v>
      </c>
      <c r="H89" s="4">
        <v>178</v>
      </c>
      <c r="I89" s="5">
        <v>68</v>
      </c>
      <c r="J89" s="2">
        <f t="shared" si="2"/>
        <v>313</v>
      </c>
      <c r="L89" s="17"/>
    </row>
    <row r="90" ht="17" spans="1:16">
      <c r="A90" s="1" t="s">
        <v>922</v>
      </c>
      <c r="B90" s="591"/>
      <c r="C90" s="2">
        <v>92</v>
      </c>
      <c r="D90" s="2">
        <v>14</v>
      </c>
      <c r="E90" s="2">
        <v>76</v>
      </c>
      <c r="F90" s="2">
        <v>2</v>
      </c>
      <c r="G90" s="3">
        <v>60</v>
      </c>
      <c r="H90" s="4">
        <v>149</v>
      </c>
      <c r="I90" s="5">
        <v>102</v>
      </c>
      <c r="J90" s="2">
        <f t="shared" si="2"/>
        <v>311</v>
      </c>
      <c r="L90" s="17"/>
    </row>
    <row r="91" ht="17" spans="1:16">
      <c r="A91" s="1" t="s">
        <v>923</v>
      </c>
      <c r="B91" s="592"/>
      <c r="C91" s="2">
        <v>98</v>
      </c>
      <c r="D91" s="2">
        <v>2</v>
      </c>
      <c r="E91" s="2">
        <v>64</v>
      </c>
      <c r="F91" s="2">
        <v>0</v>
      </c>
      <c r="G91" s="3">
        <v>18</v>
      </c>
      <c r="H91" s="4">
        <v>161</v>
      </c>
      <c r="I91" s="5">
        <v>130</v>
      </c>
      <c r="J91" s="2">
        <f t="shared" si="2"/>
        <v>309</v>
      </c>
      <c r="L91" s="17"/>
    </row>
    <row r="92" ht="101" spans="1:16">
      <c r="A92" s="1" t="s">
        <v>924</v>
      </c>
      <c r="B92" s="593"/>
      <c r="C92" s="2">
        <v>90</v>
      </c>
      <c r="D92" s="2">
        <v>0</v>
      </c>
      <c r="E92" s="2">
        <v>55</v>
      </c>
      <c r="F92" s="2">
        <v>0</v>
      </c>
      <c r="G92" s="3">
        <v>0</v>
      </c>
      <c r="H92" s="4">
        <v>164</v>
      </c>
      <c r="I92" s="5">
        <v>141</v>
      </c>
      <c r="J92" s="2">
        <f t="shared" si="2"/>
        <v>305</v>
      </c>
      <c r="M92" s="19">
        <v>27209165</v>
      </c>
      <c r="N92" s="14"/>
      <c r="O92" s="9"/>
      <c r="P92" s="10" t="s">
        <v>925</v>
      </c>
    </row>
    <row r="93" ht="17" spans="1:16">
      <c r="A93" s="1" t="s">
        <v>926</v>
      </c>
      <c r="B93" s="594"/>
      <c r="C93" s="2">
        <v>70</v>
      </c>
      <c r="D93" s="2">
        <v>40</v>
      </c>
      <c r="E93" s="2">
        <v>80</v>
      </c>
      <c r="F93" s="2">
        <v>0</v>
      </c>
      <c r="G93" s="3">
        <v>93</v>
      </c>
      <c r="H93" s="4">
        <v>131</v>
      </c>
      <c r="I93" s="5">
        <v>81</v>
      </c>
      <c r="J93" s="2">
        <f t="shared" si="2"/>
        <v>305</v>
      </c>
      <c r="K93" s="12" t="s">
        <v>60</v>
      </c>
      <c r="P93" s="10" t="s">
        <v>927</v>
      </c>
    </row>
    <row r="94" ht="185" spans="1:16">
      <c r="A94" s="1" t="s">
        <v>928</v>
      </c>
      <c r="B94" s="595"/>
      <c r="C94" s="2">
        <v>37</v>
      </c>
      <c r="D94" s="2">
        <v>0</v>
      </c>
      <c r="E94" s="2">
        <v>35</v>
      </c>
      <c r="F94" s="2">
        <v>37</v>
      </c>
      <c r="G94" s="3">
        <v>41</v>
      </c>
      <c r="H94" s="4">
        <v>138</v>
      </c>
      <c r="I94" s="5">
        <v>124</v>
      </c>
      <c r="J94" s="2">
        <f t="shared" si="2"/>
        <v>303</v>
      </c>
      <c r="M94" s="12" t="s">
        <v>929</v>
      </c>
      <c r="O94" s="28"/>
      <c r="P94" s="10" t="s">
        <v>930</v>
      </c>
    </row>
    <row r="95" ht="152" spans="1:16">
      <c r="A95" s="1" t="s">
        <v>931</v>
      </c>
      <c r="B95" s="596"/>
      <c r="C95" s="2">
        <v>81</v>
      </c>
      <c r="D95" s="2">
        <v>0</v>
      </c>
      <c r="E95" s="2">
        <v>100</v>
      </c>
      <c r="F95" s="2">
        <v>0</v>
      </c>
      <c r="G95" s="3">
        <v>91</v>
      </c>
      <c r="H95" s="4">
        <v>174</v>
      </c>
      <c r="I95" s="5">
        <v>35</v>
      </c>
      <c r="J95" s="2">
        <f t="shared" si="2"/>
        <v>300</v>
      </c>
      <c r="L95" s="17"/>
      <c r="N95" s="14"/>
      <c r="O95" s="28" t="s">
        <v>932</v>
      </c>
      <c r="P95" s="10" t="s">
        <v>933</v>
      </c>
    </row>
    <row r="96" ht="17" spans="1:16">
      <c r="A96" s="1" t="s">
        <v>934</v>
      </c>
      <c r="B96" s="597"/>
      <c r="C96" s="2">
        <v>90</v>
      </c>
      <c r="D96" s="2">
        <v>0</v>
      </c>
      <c r="E96" s="2">
        <v>100</v>
      </c>
      <c r="F96" s="2">
        <v>0</v>
      </c>
      <c r="G96" s="3">
        <v>65</v>
      </c>
      <c r="H96" s="4">
        <v>174</v>
      </c>
      <c r="I96" s="5">
        <v>60</v>
      </c>
      <c r="J96" s="2">
        <f t="shared" si="2"/>
        <v>299</v>
      </c>
      <c r="L96" s="17"/>
    </row>
    <row r="97" ht="34" spans="1:16">
      <c r="A97" s="1" t="s">
        <v>935</v>
      </c>
      <c r="B97" s="598"/>
      <c r="C97" s="2">
        <v>70</v>
      </c>
      <c r="D97" s="2">
        <v>50</v>
      </c>
      <c r="E97" s="2">
        <v>70</v>
      </c>
      <c r="F97" s="2">
        <v>5</v>
      </c>
      <c r="G97" s="3">
        <v>93</v>
      </c>
      <c r="H97" s="4">
        <v>114</v>
      </c>
      <c r="I97" s="5">
        <v>89</v>
      </c>
      <c r="J97" s="2">
        <f t="shared" si="2"/>
        <v>296</v>
      </c>
      <c r="K97" s="12"/>
      <c r="M97" s="12" t="s">
        <v>936</v>
      </c>
      <c r="P97" s="10" t="s">
        <v>937</v>
      </c>
    </row>
    <row r="98" ht="17" spans="1:16">
      <c r="A98" s="1" t="s">
        <v>938</v>
      </c>
      <c r="B98" s="599"/>
      <c r="C98" s="2">
        <v>82</v>
      </c>
      <c r="D98" s="2">
        <v>32</v>
      </c>
      <c r="E98" s="2">
        <v>60</v>
      </c>
      <c r="F98" s="2">
        <v>20</v>
      </c>
      <c r="G98" s="3">
        <v>73</v>
      </c>
      <c r="H98" s="4">
        <v>117</v>
      </c>
      <c r="I98" s="5">
        <v>104</v>
      </c>
      <c r="J98" s="2">
        <f t="shared" si="2"/>
        <v>294</v>
      </c>
      <c r="L98" s="17"/>
    </row>
    <row r="99" ht="17" spans="1:16">
      <c r="A99" s="1" t="s">
        <v>939</v>
      </c>
      <c r="B99" s="600"/>
      <c r="C99" s="2">
        <v>98</v>
      </c>
      <c r="D99" s="2">
        <v>0</v>
      </c>
      <c r="E99" s="2">
        <v>82</v>
      </c>
      <c r="F99" s="2">
        <v>0</v>
      </c>
      <c r="G99" s="3">
        <v>32</v>
      </c>
      <c r="H99" s="4">
        <v>161</v>
      </c>
      <c r="I99" s="5">
        <v>98</v>
      </c>
      <c r="J99" s="2">
        <f t="shared" si="2"/>
        <v>291</v>
      </c>
      <c r="L99" s="17"/>
    </row>
    <row r="100" ht="17" spans="1:16">
      <c r="A100" s="1" t="s">
        <v>940</v>
      </c>
      <c r="B100" s="601"/>
      <c r="C100" s="2">
        <v>62</v>
      </c>
      <c r="D100" s="2">
        <v>42</v>
      </c>
      <c r="E100" s="2">
        <v>56</v>
      </c>
      <c r="F100" s="2">
        <v>34</v>
      </c>
      <c r="G100" s="3">
        <v>94</v>
      </c>
      <c r="H100" s="4">
        <v>102</v>
      </c>
      <c r="I100" s="5">
        <v>91</v>
      </c>
      <c r="J100" s="2">
        <f t="shared" si="2"/>
        <v>287</v>
      </c>
      <c r="L100" s="17"/>
    </row>
    <row r="101" ht="34" spans="1:16">
      <c r="A101" s="1" t="s">
        <v>941</v>
      </c>
      <c r="B101" s="602"/>
      <c r="C101" s="2">
        <v>75</v>
      </c>
      <c r="D101" s="2">
        <v>40</v>
      </c>
      <c r="E101" s="2">
        <v>90</v>
      </c>
      <c r="F101" s="2">
        <v>0</v>
      </c>
      <c r="G101" s="3">
        <v>76</v>
      </c>
      <c r="H101" s="4">
        <v>128</v>
      </c>
      <c r="I101" s="5">
        <v>69</v>
      </c>
      <c r="J101" s="2">
        <f t="shared" si="2"/>
        <v>273</v>
      </c>
      <c r="K101" s="12"/>
      <c r="P101" s="10" t="s">
        <v>942</v>
      </c>
    </row>
    <row r="102" ht="17" spans="1:16">
      <c r="A102" s="1" t="s">
        <v>943</v>
      </c>
      <c r="B102" s="603"/>
      <c r="C102" s="2">
        <v>75</v>
      </c>
      <c r="D102" s="2">
        <v>45</v>
      </c>
      <c r="E102" s="2">
        <v>85</v>
      </c>
      <c r="F102" s="2">
        <v>0</v>
      </c>
      <c r="G102" s="3">
        <v>79</v>
      </c>
      <c r="H102" s="4">
        <v>121</v>
      </c>
      <c r="I102" s="5">
        <v>74</v>
      </c>
      <c r="J102" s="2">
        <f t="shared" ref="J102" si="3">G102+H102+I102</f>
        <v>274</v>
      </c>
      <c r="K102" s="12"/>
      <c r="P102" s="10" t="s">
        <v>944</v>
      </c>
    </row>
    <row r="103" ht="17" spans="1:16">
      <c r="A103" s="1" t="s">
        <v>945</v>
      </c>
      <c r="B103" s="604"/>
      <c r="C103" s="2">
        <v>99</v>
      </c>
      <c r="D103" s="2">
        <v>23</v>
      </c>
      <c r="E103" s="2">
        <v>70</v>
      </c>
      <c r="F103" s="2">
        <v>10</v>
      </c>
      <c r="G103" s="3">
        <v>36</v>
      </c>
      <c r="H103" s="4">
        <v>128</v>
      </c>
      <c r="I103" s="5">
        <v>103</v>
      </c>
      <c r="J103" s="2">
        <f t="shared" ref="J103:J125" si="4">G103+H103+I103</f>
        <v>267</v>
      </c>
      <c r="L103" s="17"/>
    </row>
    <row r="104" ht="17" spans="1:16">
      <c r="A104" s="1" t="s">
        <v>946</v>
      </c>
      <c r="B104" s="605"/>
      <c r="C104" s="2">
        <v>99</v>
      </c>
      <c r="D104" s="2">
        <v>10</v>
      </c>
      <c r="E104" s="2">
        <v>91</v>
      </c>
      <c r="F104" s="2">
        <v>2</v>
      </c>
      <c r="G104" s="3">
        <v>34</v>
      </c>
      <c r="H104" s="4">
        <v>148</v>
      </c>
      <c r="I104" s="5">
        <v>83</v>
      </c>
      <c r="J104" s="2">
        <f t="shared" si="4"/>
        <v>265</v>
      </c>
      <c r="L104" s="17"/>
    </row>
    <row r="105" ht="303" spans="1:16">
      <c r="A105" s="1" t="s">
        <v>947</v>
      </c>
      <c r="B105" s="606"/>
      <c r="C105" s="2">
        <v>75</v>
      </c>
      <c r="D105" s="2">
        <v>0</v>
      </c>
      <c r="E105" s="2">
        <v>100</v>
      </c>
      <c r="F105" s="2">
        <v>0</v>
      </c>
      <c r="G105" s="3">
        <v>34</v>
      </c>
      <c r="H105" s="4">
        <v>172</v>
      </c>
      <c r="I105" s="5">
        <v>56</v>
      </c>
      <c r="J105" s="2">
        <f t="shared" si="4"/>
        <v>262</v>
      </c>
      <c r="M105" s="12" t="s">
        <v>948</v>
      </c>
      <c r="O105" s="9"/>
      <c r="P105" s="10" t="s">
        <v>949</v>
      </c>
    </row>
    <row r="106" ht="17" spans="1:16">
      <c r="A106" s="1" t="s">
        <v>950</v>
      </c>
      <c r="B106" s="607"/>
      <c r="C106" s="2">
        <v>75</v>
      </c>
      <c r="D106" s="2">
        <v>50</v>
      </c>
      <c r="E106" s="2">
        <v>85</v>
      </c>
      <c r="F106" s="2">
        <v>5</v>
      </c>
      <c r="G106" s="3">
        <v>79</v>
      </c>
      <c r="H106" s="4">
        <v>111</v>
      </c>
      <c r="I106" s="5">
        <v>70</v>
      </c>
      <c r="J106" s="2">
        <f t="shared" si="4"/>
        <v>260</v>
      </c>
      <c r="K106" s="12"/>
      <c r="P106" s="10" t="s">
        <v>951</v>
      </c>
    </row>
    <row r="107" ht="34" spans="1:16">
      <c r="A107" s="1" t="s">
        <v>952</v>
      </c>
      <c r="B107" s="608"/>
      <c r="C107" s="2">
        <v>70</v>
      </c>
      <c r="D107" s="2">
        <v>55</v>
      </c>
      <c r="E107" s="2">
        <v>70</v>
      </c>
      <c r="F107" s="2">
        <v>20</v>
      </c>
      <c r="G107" s="3">
        <v>85</v>
      </c>
      <c r="H107" s="4">
        <v>95</v>
      </c>
      <c r="I107" s="5">
        <v>77</v>
      </c>
      <c r="J107" s="2">
        <f t="shared" si="4"/>
        <v>257</v>
      </c>
      <c r="K107" s="12"/>
      <c r="P107" s="10" t="s">
        <v>953</v>
      </c>
    </row>
    <row r="108" ht="17" spans="1:16">
      <c r="A108" s="1" t="s">
        <v>954</v>
      </c>
      <c r="B108" s="609"/>
      <c r="C108" s="2">
        <v>75</v>
      </c>
      <c r="D108" s="2">
        <v>55</v>
      </c>
      <c r="E108" s="2">
        <v>80</v>
      </c>
      <c r="F108" s="2">
        <v>10</v>
      </c>
      <c r="G108" s="3">
        <v>78</v>
      </c>
      <c r="H108" s="4">
        <v>101</v>
      </c>
      <c r="I108" s="5">
        <v>72</v>
      </c>
      <c r="J108" s="2">
        <f t="shared" si="4"/>
        <v>251</v>
      </c>
      <c r="K108" s="12" t="s">
        <v>60</v>
      </c>
      <c r="P108" s="10" t="s">
        <v>955</v>
      </c>
    </row>
    <row r="109" ht="17" spans="1:16">
      <c r="A109" s="1" t="s">
        <v>956</v>
      </c>
      <c r="B109" s="610"/>
      <c r="C109" s="2">
        <v>83</v>
      </c>
      <c r="D109" s="2">
        <v>1</v>
      </c>
      <c r="E109" s="2">
        <v>100</v>
      </c>
      <c r="F109" s="2">
        <v>1</v>
      </c>
      <c r="G109" s="3">
        <v>10</v>
      </c>
      <c r="H109" s="4">
        <v>163</v>
      </c>
      <c r="I109" s="5">
        <v>68</v>
      </c>
      <c r="J109" s="2">
        <f t="shared" si="4"/>
        <v>241</v>
      </c>
      <c r="M109" s="12"/>
      <c r="P109" s="10" t="s">
        <v>957</v>
      </c>
    </row>
    <row r="110" ht="17" spans="1:16">
      <c r="A110" s="1" t="s">
        <v>958</v>
      </c>
      <c r="B110" s="611"/>
      <c r="C110" s="2">
        <v>100</v>
      </c>
      <c r="D110" s="2">
        <v>17</v>
      </c>
      <c r="E110" s="2">
        <v>92</v>
      </c>
      <c r="F110" s="2">
        <v>5</v>
      </c>
      <c r="G110" s="3">
        <v>32</v>
      </c>
      <c r="H110" s="4">
        <v>137</v>
      </c>
      <c r="I110" s="5">
        <v>77</v>
      </c>
      <c r="J110" s="2">
        <f t="shared" si="4"/>
        <v>246</v>
      </c>
      <c r="L110" s="17"/>
    </row>
    <row r="111" ht="34" spans="1:16">
      <c r="A111" s="1" t="s">
        <v>959</v>
      </c>
      <c r="B111" s="612"/>
      <c r="C111" s="2">
        <v>74</v>
      </c>
      <c r="D111" s="2">
        <v>42</v>
      </c>
      <c r="E111" s="2">
        <v>65</v>
      </c>
      <c r="F111" s="2">
        <v>40</v>
      </c>
      <c r="G111" s="3">
        <v>72</v>
      </c>
      <c r="H111" s="4">
        <v>91</v>
      </c>
      <c r="I111" s="5">
        <v>77</v>
      </c>
      <c r="J111" s="2">
        <f t="shared" si="4"/>
        <v>240</v>
      </c>
      <c r="L111" s="17"/>
    </row>
    <row r="112" ht="17" spans="1:16">
      <c r="A112" s="1" t="s">
        <v>960</v>
      </c>
      <c r="B112" s="613"/>
      <c r="C112" s="2">
        <v>100</v>
      </c>
      <c r="D112" s="2">
        <v>22</v>
      </c>
      <c r="E112" s="2">
        <v>90</v>
      </c>
      <c r="F112" s="2">
        <v>10</v>
      </c>
      <c r="G112" s="3">
        <v>32</v>
      </c>
      <c r="H112" s="4">
        <v>127</v>
      </c>
      <c r="I112" s="5">
        <v>76</v>
      </c>
      <c r="J112" s="2">
        <f t="shared" si="4"/>
        <v>235</v>
      </c>
      <c r="L112" s="17"/>
    </row>
    <row r="113" ht="17" spans="1:16">
      <c r="A113" s="1" t="s">
        <v>961</v>
      </c>
      <c r="B113" s="614"/>
      <c r="C113" s="2">
        <v>80</v>
      </c>
      <c r="D113" s="2">
        <v>55</v>
      </c>
      <c r="E113" s="2">
        <v>100</v>
      </c>
      <c r="F113" s="2">
        <v>0</v>
      </c>
      <c r="G113" s="3">
        <v>68</v>
      </c>
      <c r="H113" s="4">
        <v>106</v>
      </c>
      <c r="I113" s="5">
        <v>55</v>
      </c>
      <c r="J113" s="2">
        <f t="shared" si="4"/>
        <v>229</v>
      </c>
      <c r="K113" s="12"/>
      <c r="P113" s="10" t="s">
        <v>962</v>
      </c>
    </row>
    <row r="114" ht="202" spans="1:16">
      <c r="A114" s="1" t="s">
        <v>963</v>
      </c>
      <c r="B114" s="615"/>
      <c r="C114" s="2">
        <v>69</v>
      </c>
      <c r="D114" s="2">
        <v>0</v>
      </c>
      <c r="E114" s="2">
        <v>53</v>
      </c>
      <c r="F114" s="2">
        <v>53</v>
      </c>
      <c r="G114" s="3">
        <v>23</v>
      </c>
      <c r="H114" s="4">
        <v>111</v>
      </c>
      <c r="I114" s="5">
        <v>88</v>
      </c>
      <c r="J114" s="2">
        <f t="shared" si="4"/>
        <v>222</v>
      </c>
      <c r="K114" s="12"/>
      <c r="P114" s="10" t="s">
        <v>964</v>
      </c>
    </row>
    <row r="115" ht="17" spans="1:16">
      <c r="A115" s="1" t="s">
        <v>965</v>
      </c>
      <c r="B115" s="616"/>
      <c r="C115" s="2">
        <v>85</v>
      </c>
      <c r="D115" s="2">
        <v>50</v>
      </c>
      <c r="E115" s="2">
        <v>95</v>
      </c>
      <c r="F115" s="2">
        <v>0</v>
      </c>
      <c r="G115" s="3">
        <v>42</v>
      </c>
      <c r="H115" s="4">
        <v>110</v>
      </c>
      <c r="I115" s="5">
        <v>63</v>
      </c>
      <c r="J115" s="2">
        <f t="shared" si="4"/>
        <v>215</v>
      </c>
      <c r="K115" s="12"/>
      <c r="P115" s="10" t="s">
        <v>966</v>
      </c>
    </row>
    <row r="116" ht="17" spans="1:16">
      <c r="A116" s="1" t="s">
        <v>967</v>
      </c>
      <c r="B116" s="617"/>
      <c r="C116" s="2">
        <v>80</v>
      </c>
      <c r="D116" s="2">
        <v>65</v>
      </c>
      <c r="E116" s="2">
        <v>85</v>
      </c>
      <c r="F116" s="2">
        <v>20</v>
      </c>
      <c r="G116" s="3">
        <v>63</v>
      </c>
      <c r="H116" s="4">
        <v>80</v>
      </c>
      <c r="I116" s="5">
        <v>59</v>
      </c>
      <c r="J116" s="2">
        <f t="shared" si="4"/>
        <v>202</v>
      </c>
      <c r="K116" s="12"/>
      <c r="P116" s="10" t="s">
        <v>968</v>
      </c>
    </row>
    <row r="117" ht="17" spans="1:16">
      <c r="A117" s="1" t="s">
        <v>969</v>
      </c>
      <c r="B117" s="618"/>
      <c r="C117" s="2">
        <v>89</v>
      </c>
      <c r="D117" s="2">
        <v>29</v>
      </c>
      <c r="E117" s="2">
        <v>88</v>
      </c>
      <c r="F117" s="2">
        <v>17</v>
      </c>
      <c r="G117" s="3">
        <v>5</v>
      </c>
      <c r="H117" s="4">
        <v>119</v>
      </c>
      <c r="I117" s="5">
        <v>72</v>
      </c>
      <c r="J117" s="2">
        <f t="shared" si="4"/>
        <v>196</v>
      </c>
      <c r="M117" s="12"/>
      <c r="P117" s="10" t="s">
        <v>970</v>
      </c>
    </row>
    <row r="118" ht="17" spans="1:16">
      <c r="A118" s="1" t="s">
        <v>971</v>
      </c>
      <c r="B118" s="619"/>
      <c r="C118" s="2">
        <v>100</v>
      </c>
      <c r="D118" s="2">
        <v>31</v>
      </c>
      <c r="E118" s="2">
        <v>91</v>
      </c>
      <c r="F118" s="2">
        <v>25</v>
      </c>
      <c r="G118" s="3">
        <v>26</v>
      </c>
      <c r="H118" s="4">
        <v>104</v>
      </c>
      <c r="I118" s="5">
        <v>64</v>
      </c>
      <c r="J118" s="2">
        <f t="shared" si="4"/>
        <v>194</v>
      </c>
      <c r="L118" s="17"/>
    </row>
    <row r="119" ht="17" spans="1:16">
      <c r="A119" s="1" t="s">
        <v>972</v>
      </c>
      <c r="B119" s="620"/>
      <c r="C119" s="2">
        <v>93</v>
      </c>
      <c r="D119" s="2">
        <v>46</v>
      </c>
      <c r="E119" s="2">
        <v>70</v>
      </c>
      <c r="F119" s="2">
        <v>61</v>
      </c>
      <c r="G119" s="3">
        <v>34</v>
      </c>
      <c r="H119" s="4">
        <v>62</v>
      </c>
      <c r="I119" s="5">
        <v>54</v>
      </c>
      <c r="J119" s="2">
        <f t="shared" si="4"/>
        <v>150</v>
      </c>
      <c r="L119" s="17"/>
      <c r="M119" s="14"/>
      <c r="P119" s="10" t="s">
        <v>973</v>
      </c>
    </row>
    <row r="120" ht="34" spans="1:16">
      <c r="A120" s="1" t="s">
        <v>974</v>
      </c>
      <c r="B120" s="621"/>
      <c r="C120" s="2">
        <v>76</v>
      </c>
      <c r="D120" s="2">
        <v>56</v>
      </c>
      <c r="E120" s="2">
        <v>75</v>
      </c>
      <c r="F120" s="2">
        <v>72</v>
      </c>
      <c r="G120" s="3">
        <v>43</v>
      </c>
      <c r="H120" s="4">
        <v>49</v>
      </c>
      <c r="I120" s="5">
        <v>44</v>
      </c>
      <c r="J120" s="2">
        <f t="shared" si="4"/>
        <v>136</v>
      </c>
      <c r="L120" s="17"/>
    </row>
    <row r="121" ht="17" spans="1:16">
      <c r="A121" s="1" t="s">
        <v>975</v>
      </c>
      <c r="B121" s="622"/>
      <c r="C121" s="2">
        <v>98</v>
      </c>
      <c r="D121" s="2">
        <v>46</v>
      </c>
      <c r="E121" s="2">
        <v>73</v>
      </c>
      <c r="F121" s="2">
        <v>63</v>
      </c>
      <c r="G121" s="3">
        <v>26</v>
      </c>
      <c r="H121" s="4">
        <v>59</v>
      </c>
      <c r="I121" s="5">
        <v>50</v>
      </c>
      <c r="J121" s="2">
        <f t="shared" si="4"/>
        <v>135</v>
      </c>
      <c r="L121" s="17"/>
    </row>
    <row r="122" ht="17" spans="1:16">
      <c r="A122" s="1" t="s">
        <v>935</v>
      </c>
      <c r="B122" s="623"/>
      <c r="C122" s="2">
        <v>84</v>
      </c>
      <c r="D122" s="2">
        <v>64</v>
      </c>
      <c r="E122" s="2">
        <v>94</v>
      </c>
      <c r="F122" s="2">
        <v>45</v>
      </c>
      <c r="G122" s="3">
        <v>37</v>
      </c>
      <c r="H122" s="4">
        <v>61</v>
      </c>
      <c r="I122" s="5">
        <v>36</v>
      </c>
      <c r="J122" s="2">
        <f t="shared" si="4"/>
        <v>134</v>
      </c>
      <c r="L122" s="17"/>
    </row>
    <row r="123" ht="17" spans="1:16">
      <c r="A123" s="1" t="s">
        <v>976</v>
      </c>
      <c r="B123" s="624"/>
      <c r="C123" s="2">
        <v>82</v>
      </c>
      <c r="D123" s="2">
        <v>60</v>
      </c>
      <c r="E123" s="2">
        <v>65</v>
      </c>
      <c r="F123" s="2">
        <v>80</v>
      </c>
      <c r="G123" s="3">
        <v>31</v>
      </c>
      <c r="H123" s="4">
        <v>38</v>
      </c>
      <c r="I123" s="5">
        <v>35</v>
      </c>
      <c r="J123" s="2">
        <f t="shared" si="4"/>
        <v>104</v>
      </c>
      <c r="L123" s="17"/>
    </row>
    <row r="124" ht="17" spans="1:16">
      <c r="A124" s="1" t="s">
        <v>977</v>
      </c>
      <c r="B124" s="625"/>
      <c r="C124" s="2">
        <v>90</v>
      </c>
      <c r="D124" s="2">
        <v>62</v>
      </c>
      <c r="E124" s="2">
        <v>67</v>
      </c>
      <c r="F124" s="2">
        <v>86</v>
      </c>
      <c r="G124" s="3">
        <v>20</v>
      </c>
      <c r="H124" s="4">
        <v>30</v>
      </c>
      <c r="I124" s="5">
        <v>27</v>
      </c>
      <c r="J124" s="2">
        <f t="shared" si="4"/>
        <v>77</v>
      </c>
      <c r="L124" s="17"/>
    </row>
    <row r="125" ht="17" spans="1:16">
      <c r="A125" s="1" t="s">
        <v>978</v>
      </c>
      <c r="B125" s="626"/>
      <c r="C125" s="2">
        <v>91</v>
      </c>
      <c r="D125" s="2">
        <v>60</v>
      </c>
      <c r="E125" s="2">
        <v>76</v>
      </c>
      <c r="F125" s="2">
        <v>83</v>
      </c>
      <c r="G125" s="3">
        <v>21</v>
      </c>
      <c r="H125" s="4">
        <v>35</v>
      </c>
      <c r="I125" s="5">
        <v>27</v>
      </c>
      <c r="J125" s="2">
        <f t="shared" si="4"/>
        <v>83</v>
      </c>
      <c r="L125" s="17"/>
    </row>
  </sheetData>
  <mergeCells count="2">
    <mergeCell ref="C1:F1"/>
    <mergeCell ref="G1:I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P53"/>
  <sheetViews>
    <sheetView zoomScale="74" zoomScaleNormal="74" workbookViewId="0">
      <pane xSplit="2" ySplit="1" topLeftCell="C2" activePane="bottomRight" state="frozen"/>
      <selection/>
      <selection pane="topRight"/>
      <selection pane="bottomLeft"/>
      <selection pane="bottomRight" activeCell="A2" sqref="A2"/>
    </sheetView>
  </sheetViews>
  <sheetFormatPr defaultColWidth="9" defaultRowHeight="16.8"/>
  <cols>
    <col min="1" max="1" width="8.88392857142857" style="350"/>
    <col min="2" max="3" width="8.88392857142857" style="351"/>
    <col min="4" max="4" width="4.4375" style="351" customWidth="1"/>
    <col min="5" max="5" width="5.22321428571429" style="351" customWidth="1"/>
    <col min="6" max="6" width="4.4375" style="351" customWidth="1"/>
    <col min="7" max="7" width="6.625" style="352" customWidth="1"/>
    <col min="8" max="8" width="4.55357142857143" style="353" customWidth="1"/>
    <col min="9" max="9" width="5.22321428571429" style="354" customWidth="1"/>
    <col min="10" max="10" width="4.55357142857143" style="351" customWidth="1"/>
    <col min="11" max="11" width="12.8839285714286" style="351" customWidth="1"/>
    <col min="12" max="12" width="10.2232142857143" style="351" customWidth="1"/>
    <col min="13" max="13" width="12" style="351" customWidth="1"/>
    <col min="14" max="14" width="13.3303571428571" style="351" customWidth="1"/>
    <col min="15" max="15" width="11.8839285714286" style="351" customWidth="1"/>
    <col min="16" max="16" width="188.4375" style="355" customWidth="1"/>
    <col min="17" max="16384" width="8.88392857142857" style="351"/>
  </cols>
  <sheetData>
    <row r="1" s="350" customFormat="1" ht="68" spans="1:16">
      <c r="A1" s="1" t="s">
        <v>0</v>
      </c>
      <c r="B1" s="1" t="s">
        <v>1</v>
      </c>
      <c r="C1" s="1" t="s">
        <v>2</v>
      </c>
      <c r="D1" s="1"/>
      <c r="E1" s="1"/>
      <c r="F1" s="1"/>
      <c r="G1" s="1" t="s">
        <v>3</v>
      </c>
      <c r="H1" s="1"/>
      <c r="I1" s="1"/>
      <c r="J1" s="1"/>
      <c r="K1" s="1" t="s">
        <v>4</v>
      </c>
      <c r="L1" s="1" t="s">
        <v>5</v>
      </c>
      <c r="M1" s="1" t="s">
        <v>6</v>
      </c>
      <c r="N1" s="1" t="s">
        <v>7</v>
      </c>
      <c r="O1" s="1" t="s">
        <v>8</v>
      </c>
      <c r="P1" s="10" t="s">
        <v>9</v>
      </c>
    </row>
    <row r="2" ht="17" spans="1:16">
      <c r="A2" s="1" t="s">
        <v>0</v>
      </c>
      <c r="B2" s="2"/>
      <c r="C2" s="2" t="s">
        <v>10</v>
      </c>
      <c r="D2" s="2" t="s">
        <v>11</v>
      </c>
      <c r="E2" s="2" t="s">
        <v>12</v>
      </c>
      <c r="F2" s="2" t="s">
        <v>13</v>
      </c>
      <c r="G2" s="3" t="s">
        <v>14</v>
      </c>
      <c r="H2" s="4" t="s">
        <v>15</v>
      </c>
      <c r="I2" s="5" t="s">
        <v>16</v>
      </c>
      <c r="J2" s="2" t="s">
        <v>17</v>
      </c>
      <c r="K2" s="2"/>
      <c r="L2" s="2"/>
      <c r="M2" s="2"/>
      <c r="N2" s="2"/>
      <c r="O2" s="2"/>
      <c r="P2" s="10"/>
    </row>
    <row r="3" ht="269" spans="1:16">
      <c r="A3" s="1" t="s">
        <v>979</v>
      </c>
      <c r="B3" s="451"/>
      <c r="C3" s="2">
        <v>11</v>
      </c>
      <c r="D3" s="2">
        <v>0</v>
      </c>
      <c r="E3" s="2">
        <v>8</v>
      </c>
      <c r="F3" s="2">
        <v>0</v>
      </c>
      <c r="G3" s="3">
        <v>238</v>
      </c>
      <c r="H3" s="4">
        <v>247</v>
      </c>
      <c r="I3" s="5">
        <v>242</v>
      </c>
      <c r="J3" s="2">
        <f t="shared" ref="J3:J50" si="0">G3+H3+I3</f>
        <v>727</v>
      </c>
      <c r="K3" s="19">
        <v>212229239</v>
      </c>
      <c r="L3" s="17"/>
      <c r="M3" s="19">
        <v>214236240</v>
      </c>
      <c r="N3" s="14"/>
      <c r="O3" s="28">
        <v>235245242</v>
      </c>
      <c r="P3" s="10" t="s">
        <v>980</v>
      </c>
    </row>
    <row r="4" ht="17" spans="1:16">
      <c r="A4" s="1" t="s">
        <v>981</v>
      </c>
      <c r="B4" s="452"/>
      <c r="C4" s="2">
        <v>11</v>
      </c>
      <c r="D4" s="2">
        <v>1</v>
      </c>
      <c r="E4" s="2">
        <v>9</v>
      </c>
      <c r="F4" s="2">
        <v>0</v>
      </c>
      <c r="G4" s="3">
        <v>224</v>
      </c>
      <c r="H4" s="4">
        <v>240</v>
      </c>
      <c r="I4" s="5">
        <v>233</v>
      </c>
      <c r="J4" s="2">
        <f t="shared" si="0"/>
        <v>697</v>
      </c>
      <c r="K4" s="2"/>
      <c r="L4" s="2"/>
      <c r="M4" s="12"/>
      <c r="N4" s="14"/>
      <c r="O4" s="2"/>
      <c r="P4" s="10" t="s">
        <v>982</v>
      </c>
    </row>
    <row r="5" ht="17" spans="1:16">
      <c r="A5" s="1" t="s">
        <v>983</v>
      </c>
      <c r="B5" s="453"/>
      <c r="C5" s="2">
        <v>11</v>
      </c>
      <c r="D5" s="2">
        <v>1</v>
      </c>
      <c r="E5" s="2">
        <v>9</v>
      </c>
      <c r="F5" s="2">
        <v>0</v>
      </c>
      <c r="G5" s="3">
        <v>224</v>
      </c>
      <c r="H5" s="4">
        <v>238</v>
      </c>
      <c r="I5" s="5">
        <v>232</v>
      </c>
      <c r="J5" s="2">
        <f t="shared" si="0"/>
        <v>694</v>
      </c>
      <c r="K5" s="2"/>
      <c r="L5" s="2"/>
      <c r="M5" s="12"/>
      <c r="N5" s="2"/>
      <c r="O5" s="2"/>
      <c r="P5" s="10" t="s">
        <v>984</v>
      </c>
    </row>
    <row r="6" ht="68" spans="1:16">
      <c r="A6" s="1" t="s">
        <v>985</v>
      </c>
      <c r="B6" s="454"/>
      <c r="C6" s="2">
        <v>20</v>
      </c>
      <c r="D6" s="2">
        <v>0</v>
      </c>
      <c r="E6" s="2">
        <v>15</v>
      </c>
      <c r="F6" s="2">
        <v>0</v>
      </c>
      <c r="G6" s="3">
        <v>213</v>
      </c>
      <c r="H6" s="4">
        <v>235</v>
      </c>
      <c r="I6" s="5">
        <v>225</v>
      </c>
      <c r="J6" s="2">
        <f t="shared" si="0"/>
        <v>673</v>
      </c>
      <c r="K6" s="12"/>
      <c r="L6" s="2"/>
      <c r="M6" s="2"/>
      <c r="N6" s="2"/>
      <c r="O6" s="2"/>
      <c r="P6" s="10" t="s">
        <v>986</v>
      </c>
    </row>
    <row r="7" ht="17" spans="1:16">
      <c r="A7" s="1" t="s">
        <v>987</v>
      </c>
      <c r="B7" s="455"/>
      <c r="C7" s="2">
        <v>24</v>
      </c>
      <c r="D7" s="2">
        <v>0</v>
      </c>
      <c r="E7" s="2">
        <v>20</v>
      </c>
      <c r="F7" s="2">
        <v>0</v>
      </c>
      <c r="G7" s="3">
        <v>192</v>
      </c>
      <c r="H7" s="4">
        <v>235</v>
      </c>
      <c r="I7" s="5">
        <v>215</v>
      </c>
      <c r="J7" s="2">
        <f t="shared" si="0"/>
        <v>642</v>
      </c>
      <c r="K7" s="2"/>
      <c r="L7" s="2"/>
      <c r="M7" s="12"/>
      <c r="N7" s="2"/>
      <c r="O7" s="2"/>
      <c r="P7" s="10" t="s">
        <v>988</v>
      </c>
    </row>
    <row r="8" ht="51" spans="1:16">
      <c r="A8" s="1" t="s">
        <v>989</v>
      </c>
      <c r="B8" s="456"/>
      <c r="C8" s="2">
        <v>35</v>
      </c>
      <c r="D8" s="2">
        <v>5</v>
      </c>
      <c r="E8" s="2">
        <v>25</v>
      </c>
      <c r="F8" s="2">
        <v>0</v>
      </c>
      <c r="G8" s="3">
        <v>177</v>
      </c>
      <c r="H8" s="4">
        <v>213</v>
      </c>
      <c r="I8" s="5">
        <v>200</v>
      </c>
      <c r="J8" s="2">
        <f t="shared" si="0"/>
        <v>590</v>
      </c>
      <c r="K8" s="12"/>
      <c r="L8" s="2"/>
      <c r="M8" s="2"/>
      <c r="N8" s="2"/>
      <c r="O8" s="2"/>
      <c r="P8" s="10" t="s">
        <v>990</v>
      </c>
    </row>
    <row r="9" ht="34" spans="1:16">
      <c r="A9" s="1" t="s">
        <v>991</v>
      </c>
      <c r="B9" s="457"/>
      <c r="C9" s="2">
        <v>27</v>
      </c>
      <c r="D9" s="2">
        <v>11</v>
      </c>
      <c r="E9" s="2">
        <v>22</v>
      </c>
      <c r="F9" s="2">
        <v>0</v>
      </c>
      <c r="G9" s="3">
        <v>187</v>
      </c>
      <c r="H9" s="4">
        <v>205</v>
      </c>
      <c r="I9" s="5">
        <v>197</v>
      </c>
      <c r="J9" s="2">
        <f t="shared" si="0"/>
        <v>589</v>
      </c>
      <c r="K9" s="2"/>
      <c r="L9" s="2"/>
      <c r="M9" s="12"/>
      <c r="N9" s="14"/>
      <c r="O9" s="2"/>
      <c r="P9" s="10" t="s">
        <v>992</v>
      </c>
    </row>
    <row r="10" ht="17" spans="1:16">
      <c r="A10" s="1" t="s">
        <v>993</v>
      </c>
      <c r="B10" s="458"/>
      <c r="C10" s="2">
        <v>27</v>
      </c>
      <c r="D10" s="2">
        <v>12</v>
      </c>
      <c r="E10" s="2">
        <v>20</v>
      </c>
      <c r="F10" s="2">
        <v>0</v>
      </c>
      <c r="G10" s="3">
        <v>186</v>
      </c>
      <c r="H10" s="4">
        <v>202</v>
      </c>
      <c r="I10" s="5">
        <v>198</v>
      </c>
      <c r="J10" s="2">
        <f t="shared" si="0"/>
        <v>586</v>
      </c>
      <c r="K10" s="2"/>
      <c r="L10" s="2"/>
      <c r="M10" s="12"/>
      <c r="N10" s="2"/>
      <c r="O10" s="2"/>
      <c r="P10" s="10" t="s">
        <v>994</v>
      </c>
    </row>
    <row r="11" ht="17" spans="1:16">
      <c r="A11" s="1" t="s">
        <v>995</v>
      </c>
      <c r="B11" s="459"/>
      <c r="C11" s="2">
        <v>40</v>
      </c>
      <c r="D11" s="2">
        <v>10</v>
      </c>
      <c r="E11" s="2">
        <v>20</v>
      </c>
      <c r="F11" s="2">
        <v>0</v>
      </c>
      <c r="G11" s="3">
        <v>164</v>
      </c>
      <c r="H11" s="4">
        <v>201</v>
      </c>
      <c r="I11" s="5">
        <v>204</v>
      </c>
      <c r="J11" s="2">
        <f t="shared" si="0"/>
        <v>569</v>
      </c>
      <c r="K11" s="12"/>
      <c r="L11" s="2"/>
      <c r="M11" s="2"/>
      <c r="N11" s="2"/>
      <c r="O11" s="2"/>
      <c r="P11" s="10" t="s">
        <v>996</v>
      </c>
    </row>
    <row r="12" ht="17" spans="1:16">
      <c r="A12" s="1" t="s">
        <v>997</v>
      </c>
      <c r="B12" s="460"/>
      <c r="C12" s="2">
        <v>50</v>
      </c>
      <c r="D12" s="2">
        <v>10</v>
      </c>
      <c r="E12" s="2">
        <v>20</v>
      </c>
      <c r="F12" s="2">
        <v>0</v>
      </c>
      <c r="G12" s="3">
        <v>135</v>
      </c>
      <c r="H12" s="4">
        <v>192</v>
      </c>
      <c r="I12" s="5">
        <v>202</v>
      </c>
      <c r="J12" s="2">
        <f t="shared" si="0"/>
        <v>529</v>
      </c>
      <c r="K12" s="12"/>
      <c r="L12" s="2"/>
      <c r="M12" s="2"/>
      <c r="N12" s="2"/>
      <c r="O12" s="2"/>
      <c r="P12" s="10" t="s">
        <v>998</v>
      </c>
    </row>
    <row r="13" ht="34" spans="1:16">
      <c r="A13" s="1" t="s">
        <v>999</v>
      </c>
      <c r="B13" s="461"/>
      <c r="C13" s="2">
        <v>45</v>
      </c>
      <c r="D13" s="2">
        <v>20</v>
      </c>
      <c r="E13" s="2">
        <v>20</v>
      </c>
      <c r="F13" s="2">
        <v>0</v>
      </c>
      <c r="G13" s="3">
        <v>152</v>
      </c>
      <c r="H13" s="4">
        <v>182</v>
      </c>
      <c r="I13" s="5">
        <v>194</v>
      </c>
      <c r="J13" s="2">
        <f t="shared" si="0"/>
        <v>528</v>
      </c>
      <c r="K13" s="12" t="s">
        <v>60</v>
      </c>
      <c r="L13" s="2"/>
      <c r="M13" s="2"/>
      <c r="N13" s="2"/>
      <c r="O13" s="2"/>
      <c r="P13" s="10" t="s">
        <v>1000</v>
      </c>
    </row>
    <row r="14" ht="17" spans="1:16">
      <c r="A14" s="1" t="s">
        <v>1001</v>
      </c>
      <c r="B14" s="462"/>
      <c r="C14" s="2">
        <v>45</v>
      </c>
      <c r="D14" s="2">
        <v>15</v>
      </c>
      <c r="E14" s="2">
        <v>35</v>
      </c>
      <c r="F14" s="2">
        <v>0</v>
      </c>
      <c r="G14" s="3">
        <v>153</v>
      </c>
      <c r="H14" s="4">
        <v>188</v>
      </c>
      <c r="I14" s="5">
        <v>172</v>
      </c>
      <c r="J14" s="2">
        <f t="shared" si="0"/>
        <v>513</v>
      </c>
      <c r="K14" s="12"/>
      <c r="L14" s="2"/>
      <c r="M14" s="2"/>
      <c r="N14" s="2"/>
      <c r="O14" s="2"/>
      <c r="P14" s="10" t="s">
        <v>1002</v>
      </c>
    </row>
    <row r="15" ht="51" spans="1:16">
      <c r="A15" s="232" t="s">
        <v>1003</v>
      </c>
      <c r="B15" s="463"/>
      <c r="C15" s="2">
        <v>50</v>
      </c>
      <c r="D15" s="2">
        <v>10</v>
      </c>
      <c r="E15" s="2">
        <v>30</v>
      </c>
      <c r="F15" s="2">
        <v>0</v>
      </c>
      <c r="G15" s="3">
        <v>136</v>
      </c>
      <c r="H15" s="4">
        <v>191</v>
      </c>
      <c r="I15" s="5">
        <v>184</v>
      </c>
      <c r="J15" s="2">
        <f t="shared" si="0"/>
        <v>511</v>
      </c>
      <c r="K15" s="12"/>
      <c r="L15" s="2"/>
      <c r="M15" s="2"/>
      <c r="N15" s="2"/>
      <c r="O15" s="2"/>
      <c r="P15" s="10" t="s">
        <v>1004</v>
      </c>
    </row>
    <row r="16" ht="17" spans="1:16">
      <c r="A16" s="1" t="s">
        <v>1005</v>
      </c>
      <c r="B16" s="464"/>
      <c r="C16" s="2">
        <v>55</v>
      </c>
      <c r="D16" s="2">
        <v>0</v>
      </c>
      <c r="E16" s="2">
        <v>36</v>
      </c>
      <c r="F16" s="2">
        <v>0</v>
      </c>
      <c r="G16" s="3">
        <v>37</v>
      </c>
      <c r="H16" s="4">
        <v>248</v>
      </c>
      <c r="I16" s="5">
        <v>203</v>
      </c>
      <c r="J16" s="2">
        <f t="shared" si="0"/>
        <v>488</v>
      </c>
      <c r="K16" s="2"/>
      <c r="L16" s="2"/>
      <c r="M16" s="12"/>
      <c r="N16" s="2"/>
      <c r="O16" s="2"/>
      <c r="P16" s="10"/>
    </row>
    <row r="17" ht="17" spans="1:16">
      <c r="A17" s="1" t="s">
        <v>1006</v>
      </c>
      <c r="B17" s="465"/>
      <c r="C17" s="2">
        <v>79</v>
      </c>
      <c r="D17" s="2">
        <v>0</v>
      </c>
      <c r="E17" s="2">
        <v>27</v>
      </c>
      <c r="F17" s="2">
        <v>0</v>
      </c>
      <c r="G17" s="3">
        <v>81</v>
      </c>
      <c r="H17" s="4">
        <v>196</v>
      </c>
      <c r="I17" s="5">
        <v>211</v>
      </c>
      <c r="J17" s="2">
        <f t="shared" si="0"/>
        <v>488</v>
      </c>
      <c r="K17" s="2"/>
      <c r="L17" s="17"/>
      <c r="M17" s="2"/>
      <c r="N17" s="2"/>
      <c r="O17" s="2"/>
      <c r="P17" s="10"/>
    </row>
    <row r="18" ht="202" spans="1:16">
      <c r="A18" s="1" t="s">
        <v>1007</v>
      </c>
      <c r="B18" s="466"/>
      <c r="C18" s="2">
        <v>78</v>
      </c>
      <c r="D18" s="2">
        <v>36</v>
      </c>
      <c r="E18" s="2">
        <v>0</v>
      </c>
      <c r="F18" s="2">
        <v>0</v>
      </c>
      <c r="G18" s="3">
        <v>87</v>
      </c>
      <c r="H18" s="4">
        <v>195</v>
      </c>
      <c r="I18" s="5">
        <v>194</v>
      </c>
      <c r="J18" s="2">
        <f t="shared" si="0"/>
        <v>476</v>
      </c>
      <c r="K18" s="19">
        <v>32104100</v>
      </c>
      <c r="L18" s="17"/>
      <c r="M18" s="2"/>
      <c r="N18" s="2"/>
      <c r="O18" s="9" t="s">
        <v>1008</v>
      </c>
      <c r="P18" s="10" t="s">
        <v>1009</v>
      </c>
    </row>
    <row r="19" ht="17" spans="1:16">
      <c r="A19" s="1" t="s">
        <v>1010</v>
      </c>
      <c r="B19" s="467"/>
      <c r="C19" s="2">
        <v>49</v>
      </c>
      <c r="D19" s="2">
        <v>20</v>
      </c>
      <c r="E19" s="2">
        <v>35</v>
      </c>
      <c r="F19" s="2">
        <v>0</v>
      </c>
      <c r="G19" s="3">
        <v>136</v>
      </c>
      <c r="H19" s="4">
        <v>173</v>
      </c>
      <c r="I19" s="5">
        <v>166</v>
      </c>
      <c r="J19" s="2">
        <f t="shared" si="0"/>
        <v>475</v>
      </c>
      <c r="K19" s="2"/>
      <c r="L19" s="2"/>
      <c r="M19" s="12"/>
      <c r="N19" s="2"/>
      <c r="O19" s="2"/>
      <c r="P19" s="10"/>
    </row>
    <row r="20" ht="17" spans="1:16">
      <c r="A20" s="1" t="s">
        <v>1011</v>
      </c>
      <c r="B20" s="468"/>
      <c r="C20" s="2">
        <v>64</v>
      </c>
      <c r="D20" s="2">
        <v>18</v>
      </c>
      <c r="E20" s="2">
        <v>32</v>
      </c>
      <c r="F20" s="2">
        <v>2</v>
      </c>
      <c r="G20" s="3">
        <v>124</v>
      </c>
      <c r="H20" s="4">
        <v>171</v>
      </c>
      <c r="I20" s="5">
        <v>177</v>
      </c>
      <c r="J20" s="2">
        <f t="shared" si="0"/>
        <v>472</v>
      </c>
      <c r="K20" s="2"/>
      <c r="L20" s="17"/>
      <c r="M20" s="2"/>
      <c r="N20" s="2"/>
      <c r="O20" s="2"/>
      <c r="P20" s="10"/>
    </row>
    <row r="21" ht="17" spans="1:16">
      <c r="A21" s="1" t="s">
        <v>1012</v>
      </c>
      <c r="B21" s="469"/>
      <c r="C21" s="2">
        <v>55</v>
      </c>
      <c r="D21" s="2">
        <v>30</v>
      </c>
      <c r="E21" s="2">
        <v>25</v>
      </c>
      <c r="F21" s="2">
        <v>0</v>
      </c>
      <c r="G21" s="3">
        <v>127</v>
      </c>
      <c r="H21" s="4">
        <v>159</v>
      </c>
      <c r="I21" s="5">
        <v>175</v>
      </c>
      <c r="J21" s="2">
        <f t="shared" si="0"/>
        <v>461</v>
      </c>
      <c r="K21" s="12"/>
      <c r="L21" s="2"/>
      <c r="M21" s="2"/>
      <c r="N21" s="2"/>
      <c r="O21" s="2"/>
      <c r="P21" s="10" t="s">
        <v>1013</v>
      </c>
    </row>
    <row r="22" ht="17" spans="1:16">
      <c r="A22" s="1" t="s">
        <v>1014</v>
      </c>
      <c r="B22" s="470"/>
      <c r="C22" s="2">
        <v>60</v>
      </c>
      <c r="D22" s="2">
        <v>20</v>
      </c>
      <c r="E22" s="2">
        <v>30</v>
      </c>
      <c r="F22" s="2">
        <v>0</v>
      </c>
      <c r="G22" s="3">
        <v>108</v>
      </c>
      <c r="H22" s="4">
        <v>168</v>
      </c>
      <c r="I22" s="5">
        <v>175</v>
      </c>
      <c r="J22" s="2">
        <f t="shared" si="0"/>
        <v>451</v>
      </c>
      <c r="K22" s="12"/>
      <c r="L22" s="2"/>
      <c r="M22" s="2"/>
      <c r="N22" s="2"/>
      <c r="O22" s="2"/>
      <c r="P22" s="10" t="s">
        <v>1015</v>
      </c>
    </row>
    <row r="23" ht="17" spans="1:16">
      <c r="A23" s="1" t="s">
        <v>1016</v>
      </c>
      <c r="B23" s="471"/>
      <c r="C23" s="2">
        <v>56</v>
      </c>
      <c r="D23" s="2">
        <v>26</v>
      </c>
      <c r="E23" s="2">
        <v>36</v>
      </c>
      <c r="F23" s="2">
        <v>7</v>
      </c>
      <c r="G23" s="3">
        <v>134</v>
      </c>
      <c r="H23" s="4">
        <v>157</v>
      </c>
      <c r="I23" s="5">
        <v>157</v>
      </c>
      <c r="J23" s="2">
        <f t="shared" si="0"/>
        <v>448</v>
      </c>
      <c r="K23" s="2"/>
      <c r="L23" s="17"/>
      <c r="M23" s="2"/>
      <c r="N23" s="2"/>
      <c r="O23" s="2"/>
      <c r="P23" s="10"/>
    </row>
    <row r="24" ht="32" spans="1:16">
      <c r="A24" s="1" t="s">
        <v>1017</v>
      </c>
      <c r="B24" s="472"/>
      <c r="C24" s="2">
        <v>55</v>
      </c>
      <c r="D24" s="2">
        <v>25</v>
      </c>
      <c r="E24" s="2">
        <v>45</v>
      </c>
      <c r="F24" s="2">
        <v>0</v>
      </c>
      <c r="G24" s="3">
        <v>128</v>
      </c>
      <c r="H24" s="4">
        <v>164</v>
      </c>
      <c r="I24" s="5">
        <v>146</v>
      </c>
      <c r="J24" s="2">
        <f t="shared" si="0"/>
        <v>438</v>
      </c>
      <c r="K24" s="12" t="s">
        <v>1018</v>
      </c>
      <c r="L24" s="2"/>
      <c r="M24" s="2"/>
      <c r="N24" s="2"/>
      <c r="O24" s="2"/>
      <c r="P24" s="473" t="s">
        <v>1019</v>
      </c>
    </row>
    <row r="25" ht="17" spans="1:16">
      <c r="A25" s="1" t="s">
        <v>1020</v>
      </c>
      <c r="B25" s="474"/>
      <c r="C25" s="2">
        <v>58</v>
      </c>
      <c r="D25" s="2">
        <v>32</v>
      </c>
      <c r="E25" s="2">
        <v>25</v>
      </c>
      <c r="F25" s="2">
        <v>1</v>
      </c>
      <c r="G25" s="3">
        <v>115</v>
      </c>
      <c r="H25" s="4">
        <v>151</v>
      </c>
      <c r="I25" s="5">
        <v>171</v>
      </c>
      <c r="J25" s="2">
        <f t="shared" si="0"/>
        <v>437</v>
      </c>
      <c r="K25" s="2"/>
      <c r="L25" s="2"/>
      <c r="M25" s="12"/>
      <c r="N25" s="2"/>
      <c r="O25" s="2"/>
      <c r="P25" s="10"/>
    </row>
    <row r="26" ht="34" spans="1:16">
      <c r="A26" s="1" t="s">
        <v>1021</v>
      </c>
      <c r="B26" s="475"/>
      <c r="C26" s="2">
        <v>65</v>
      </c>
      <c r="D26" s="2">
        <v>20</v>
      </c>
      <c r="E26" s="2">
        <v>30</v>
      </c>
      <c r="F26" s="2">
        <v>0</v>
      </c>
      <c r="G26" s="3">
        <v>90</v>
      </c>
      <c r="H26" s="4">
        <v>164</v>
      </c>
      <c r="I26" s="5">
        <v>174</v>
      </c>
      <c r="J26" s="2">
        <f t="shared" si="0"/>
        <v>428</v>
      </c>
      <c r="K26" s="12"/>
      <c r="L26" s="2"/>
      <c r="M26" s="2"/>
      <c r="N26" s="2"/>
      <c r="O26" s="2"/>
      <c r="P26" s="10" t="s">
        <v>1022</v>
      </c>
    </row>
    <row r="27" ht="17" spans="1:16">
      <c r="A27" s="1" t="s">
        <v>1023</v>
      </c>
      <c r="B27" s="476"/>
      <c r="C27" s="2">
        <v>66</v>
      </c>
      <c r="D27" s="2">
        <v>0</v>
      </c>
      <c r="E27" s="2">
        <v>46</v>
      </c>
      <c r="F27" s="2">
        <v>0</v>
      </c>
      <c r="G27" s="3">
        <v>72</v>
      </c>
      <c r="H27" s="4">
        <v>192</v>
      </c>
      <c r="I27" s="5">
        <v>163</v>
      </c>
      <c r="J27" s="2">
        <f t="shared" si="0"/>
        <v>427</v>
      </c>
      <c r="K27" s="2"/>
      <c r="L27" s="2"/>
      <c r="M27" s="12"/>
      <c r="N27" s="2"/>
      <c r="O27" s="2"/>
      <c r="P27" s="10" t="s">
        <v>1024</v>
      </c>
    </row>
    <row r="28" ht="17" spans="1:16">
      <c r="A28" s="1" t="s">
        <v>1025</v>
      </c>
      <c r="B28" s="477"/>
      <c r="C28" s="2">
        <v>89</v>
      </c>
      <c r="D28" s="2">
        <v>0</v>
      </c>
      <c r="E28" s="2">
        <v>29</v>
      </c>
      <c r="F28" s="2">
        <v>0</v>
      </c>
      <c r="G28" s="3">
        <v>41</v>
      </c>
      <c r="H28" s="4">
        <v>183</v>
      </c>
      <c r="I28" s="5">
        <v>203</v>
      </c>
      <c r="J28" s="2">
        <f t="shared" si="0"/>
        <v>427</v>
      </c>
      <c r="K28" s="2"/>
      <c r="L28" s="17"/>
      <c r="M28" s="19">
        <v>112243255</v>
      </c>
      <c r="N28" s="2"/>
      <c r="O28" s="2"/>
      <c r="P28" s="10" t="s">
        <v>1026</v>
      </c>
    </row>
    <row r="29" ht="51" spans="1:16">
      <c r="A29" s="1" t="s">
        <v>1027</v>
      </c>
      <c r="B29" s="478"/>
      <c r="C29" s="2">
        <v>65</v>
      </c>
      <c r="D29" s="2">
        <v>20</v>
      </c>
      <c r="E29" s="2">
        <v>40</v>
      </c>
      <c r="F29" s="2">
        <v>0</v>
      </c>
      <c r="G29" s="3">
        <v>93</v>
      </c>
      <c r="H29" s="4">
        <v>163</v>
      </c>
      <c r="I29" s="5">
        <v>157</v>
      </c>
      <c r="J29" s="2">
        <f t="shared" si="0"/>
        <v>413</v>
      </c>
      <c r="K29" s="12"/>
      <c r="L29" s="2"/>
      <c r="M29" s="2"/>
      <c r="N29" s="2"/>
      <c r="O29" s="2"/>
      <c r="P29" s="10" t="s">
        <v>1028</v>
      </c>
    </row>
    <row r="30" ht="135" spans="1:16">
      <c r="A30" s="1" t="s">
        <v>64</v>
      </c>
      <c r="B30" s="479"/>
      <c r="C30" s="2">
        <v>92</v>
      </c>
      <c r="D30" s="2">
        <v>0</v>
      </c>
      <c r="E30" s="2">
        <v>28</v>
      </c>
      <c r="F30" s="2">
        <v>0</v>
      </c>
      <c r="G30" s="3">
        <v>14</v>
      </c>
      <c r="H30" s="4">
        <v>176</v>
      </c>
      <c r="I30" s="5">
        <v>201</v>
      </c>
      <c r="J30" s="2">
        <f t="shared" si="0"/>
        <v>391</v>
      </c>
      <c r="K30" s="2"/>
      <c r="L30" s="17"/>
      <c r="M30" s="2"/>
      <c r="N30" s="2"/>
      <c r="O30" s="9" t="s">
        <v>1029</v>
      </c>
      <c r="P30" s="10" t="s">
        <v>1030</v>
      </c>
    </row>
    <row r="31" ht="17" spans="1:16">
      <c r="A31" s="1" t="s">
        <v>1031</v>
      </c>
      <c r="B31" s="480"/>
      <c r="C31" s="2">
        <v>71</v>
      </c>
      <c r="D31" s="2">
        <v>28</v>
      </c>
      <c r="E31" s="2">
        <v>39</v>
      </c>
      <c r="F31" s="2">
        <v>10</v>
      </c>
      <c r="G31" s="3">
        <v>100</v>
      </c>
      <c r="H31" s="4">
        <v>142</v>
      </c>
      <c r="I31" s="5">
        <v>147</v>
      </c>
      <c r="J31" s="2">
        <f t="shared" si="0"/>
        <v>389</v>
      </c>
      <c r="K31" s="2"/>
      <c r="L31" s="17"/>
      <c r="M31" s="2"/>
      <c r="N31" s="2"/>
      <c r="O31" s="2"/>
      <c r="P31" s="10"/>
    </row>
    <row r="32" ht="17" spans="1:16">
      <c r="A32" s="1" t="s">
        <v>1032</v>
      </c>
      <c r="B32" s="481"/>
      <c r="C32" s="2">
        <v>93</v>
      </c>
      <c r="D32" s="2">
        <v>0</v>
      </c>
      <c r="E32" s="2">
        <v>31</v>
      </c>
      <c r="F32" s="2">
        <v>0</v>
      </c>
      <c r="G32" s="3">
        <v>16</v>
      </c>
      <c r="H32" s="4">
        <v>174</v>
      </c>
      <c r="I32" s="5">
        <v>194</v>
      </c>
      <c r="J32" s="2">
        <f t="shared" si="0"/>
        <v>384</v>
      </c>
      <c r="K32" s="2"/>
      <c r="L32" s="17"/>
      <c r="M32" s="2"/>
      <c r="N32" s="2"/>
      <c r="O32" s="2"/>
      <c r="P32" s="10"/>
    </row>
    <row r="33" ht="51" spans="1:16">
      <c r="A33" s="1" t="s">
        <v>1033</v>
      </c>
      <c r="B33" s="482"/>
      <c r="C33" s="2">
        <v>65</v>
      </c>
      <c r="D33" s="2">
        <v>35</v>
      </c>
      <c r="E33" s="2">
        <v>45</v>
      </c>
      <c r="F33" s="2">
        <v>0</v>
      </c>
      <c r="G33" s="3">
        <v>102</v>
      </c>
      <c r="H33" s="4">
        <v>143</v>
      </c>
      <c r="I33" s="5">
        <v>139</v>
      </c>
      <c r="J33" s="2">
        <f t="shared" si="0"/>
        <v>384</v>
      </c>
      <c r="K33" s="12" t="s">
        <v>60</v>
      </c>
      <c r="L33" s="2"/>
      <c r="M33" s="2"/>
      <c r="N33" s="2"/>
      <c r="O33" s="2"/>
      <c r="P33" s="10" t="s">
        <v>1034</v>
      </c>
    </row>
    <row r="34" ht="34" spans="1:16">
      <c r="A34" s="1" t="s">
        <v>1035</v>
      </c>
      <c r="B34" s="483"/>
      <c r="C34" s="2">
        <v>70</v>
      </c>
      <c r="D34" s="2">
        <v>30</v>
      </c>
      <c r="E34" s="2">
        <v>40</v>
      </c>
      <c r="F34" s="2">
        <v>0</v>
      </c>
      <c r="G34" s="3">
        <v>80</v>
      </c>
      <c r="H34" s="4">
        <v>146</v>
      </c>
      <c r="I34" s="5">
        <v>150</v>
      </c>
      <c r="J34" s="2">
        <f t="shared" si="0"/>
        <v>376</v>
      </c>
      <c r="K34" s="12"/>
      <c r="L34" s="2"/>
      <c r="M34" s="2"/>
      <c r="N34" s="2"/>
      <c r="O34" s="2"/>
      <c r="P34" s="10" t="s">
        <v>1036</v>
      </c>
    </row>
    <row r="35" ht="17" spans="1:16">
      <c r="A35" s="1" t="s">
        <v>1037</v>
      </c>
      <c r="B35" s="484"/>
      <c r="C35" s="2">
        <v>94</v>
      </c>
      <c r="D35" s="2">
        <v>11</v>
      </c>
      <c r="E35" s="2">
        <v>33</v>
      </c>
      <c r="F35" s="2">
        <v>1</v>
      </c>
      <c r="G35" s="3">
        <v>30</v>
      </c>
      <c r="H35" s="4">
        <v>158</v>
      </c>
      <c r="I35" s="5">
        <v>179</v>
      </c>
      <c r="J35" s="2">
        <f t="shared" si="0"/>
        <v>367</v>
      </c>
      <c r="K35" s="2"/>
      <c r="L35" s="17"/>
      <c r="M35" s="2"/>
      <c r="N35" s="2"/>
      <c r="O35" s="2"/>
      <c r="P35" s="10"/>
    </row>
    <row r="36" ht="17" spans="1:16">
      <c r="A36" s="1" t="s">
        <v>1038</v>
      </c>
      <c r="B36" s="485"/>
      <c r="C36" s="2">
        <v>60</v>
      </c>
      <c r="D36" s="2">
        <v>40</v>
      </c>
      <c r="E36" s="2">
        <v>50</v>
      </c>
      <c r="F36" s="2">
        <v>15</v>
      </c>
      <c r="G36" s="3">
        <v>107</v>
      </c>
      <c r="H36" s="4">
        <v>125</v>
      </c>
      <c r="I36" s="5">
        <v>115</v>
      </c>
      <c r="J36" s="2">
        <f t="shared" si="0"/>
        <v>347</v>
      </c>
      <c r="K36" s="12" t="s">
        <v>60</v>
      </c>
      <c r="L36" s="2"/>
      <c r="M36" s="2"/>
      <c r="N36" s="2"/>
      <c r="O36" s="2"/>
      <c r="P36" s="10" t="s">
        <v>1039</v>
      </c>
    </row>
    <row r="37" ht="17" spans="1:16">
      <c r="A37" s="1" t="s">
        <v>1040</v>
      </c>
      <c r="B37" s="486"/>
      <c r="C37" s="2">
        <v>96</v>
      </c>
      <c r="D37" s="2">
        <v>16</v>
      </c>
      <c r="E37" s="2">
        <v>31</v>
      </c>
      <c r="F37" s="2">
        <v>3</v>
      </c>
      <c r="G37" s="3">
        <v>15</v>
      </c>
      <c r="H37" s="4">
        <v>149</v>
      </c>
      <c r="I37" s="5">
        <v>176</v>
      </c>
      <c r="J37" s="2">
        <f t="shared" si="0"/>
        <v>340</v>
      </c>
      <c r="K37" s="2"/>
      <c r="L37" s="17"/>
      <c r="M37" s="2"/>
      <c r="N37" s="2"/>
      <c r="O37" s="2"/>
      <c r="P37" s="10"/>
    </row>
    <row r="38" ht="34" spans="1:16">
      <c r="A38" s="1" t="s">
        <v>1041</v>
      </c>
      <c r="B38" s="487"/>
      <c r="C38" s="2">
        <v>70</v>
      </c>
      <c r="D38" s="2">
        <v>45</v>
      </c>
      <c r="E38" s="2">
        <v>35</v>
      </c>
      <c r="F38" s="2">
        <v>10</v>
      </c>
      <c r="G38" s="3">
        <v>84</v>
      </c>
      <c r="H38" s="4">
        <v>118</v>
      </c>
      <c r="I38" s="5">
        <v>137</v>
      </c>
      <c r="J38" s="2">
        <f t="shared" si="0"/>
        <v>339</v>
      </c>
      <c r="K38" s="12"/>
      <c r="L38" s="2"/>
      <c r="M38" s="2"/>
      <c r="N38" s="2"/>
      <c r="O38" s="2"/>
      <c r="P38" s="10" t="s">
        <v>1042</v>
      </c>
    </row>
    <row r="39" ht="51" spans="1:16">
      <c r="A39" s="1" t="s">
        <v>1043</v>
      </c>
      <c r="B39" s="488"/>
      <c r="C39" s="2">
        <v>75</v>
      </c>
      <c r="D39" s="2">
        <v>30</v>
      </c>
      <c r="E39" s="2">
        <v>50</v>
      </c>
      <c r="F39" s="2">
        <v>0</v>
      </c>
      <c r="G39" s="3">
        <v>61</v>
      </c>
      <c r="H39" s="4">
        <v>142</v>
      </c>
      <c r="I39" s="5">
        <v>134</v>
      </c>
      <c r="J39" s="2">
        <f t="shared" si="0"/>
        <v>337</v>
      </c>
      <c r="K39" s="12"/>
      <c r="L39" s="2"/>
      <c r="M39" s="2"/>
      <c r="N39" s="2"/>
      <c r="O39" s="2"/>
      <c r="P39" s="10" t="s">
        <v>1044</v>
      </c>
    </row>
    <row r="40" ht="17" spans="1:16">
      <c r="A40" s="1" t="s">
        <v>1045</v>
      </c>
      <c r="B40" s="489"/>
      <c r="C40" s="2">
        <v>96</v>
      </c>
      <c r="D40" s="2">
        <v>18</v>
      </c>
      <c r="E40" s="2">
        <v>34</v>
      </c>
      <c r="F40" s="2">
        <v>4</v>
      </c>
      <c r="G40" s="3">
        <v>20</v>
      </c>
      <c r="H40" s="4">
        <v>145</v>
      </c>
      <c r="I40" s="5">
        <v>168</v>
      </c>
      <c r="J40" s="2">
        <f t="shared" si="0"/>
        <v>333</v>
      </c>
      <c r="K40" s="2"/>
      <c r="L40" s="17"/>
      <c r="M40" s="2"/>
      <c r="N40" s="2"/>
      <c r="O40" s="2"/>
      <c r="P40" s="10"/>
    </row>
    <row r="41" ht="17" spans="1:16">
      <c r="A41" s="1" t="s">
        <v>1046</v>
      </c>
      <c r="B41" s="490"/>
      <c r="C41" s="2">
        <v>89</v>
      </c>
      <c r="D41" s="2">
        <v>27</v>
      </c>
      <c r="E41" s="2">
        <v>41</v>
      </c>
      <c r="F41" s="2">
        <v>13</v>
      </c>
      <c r="G41" s="3">
        <v>59</v>
      </c>
      <c r="H41" s="4">
        <v>129</v>
      </c>
      <c r="I41" s="5">
        <v>140</v>
      </c>
      <c r="J41" s="2">
        <f t="shared" si="0"/>
        <v>328</v>
      </c>
      <c r="K41" s="2"/>
      <c r="L41" s="17"/>
      <c r="M41" s="2"/>
      <c r="N41" s="2"/>
      <c r="O41" s="2"/>
      <c r="P41" s="10"/>
    </row>
    <row r="42" ht="34" spans="1:16">
      <c r="A42" s="1" t="s">
        <v>1047</v>
      </c>
      <c r="B42" s="491"/>
      <c r="C42" s="2">
        <v>80</v>
      </c>
      <c r="D42" s="2">
        <v>45</v>
      </c>
      <c r="E42" s="2">
        <v>40</v>
      </c>
      <c r="F42" s="2">
        <v>0</v>
      </c>
      <c r="G42" s="3">
        <v>50</v>
      </c>
      <c r="H42" s="4">
        <v>120</v>
      </c>
      <c r="I42" s="5">
        <v>138</v>
      </c>
      <c r="J42" s="2">
        <f t="shared" si="0"/>
        <v>308</v>
      </c>
      <c r="K42" s="12"/>
      <c r="L42" s="2"/>
      <c r="M42" s="2"/>
      <c r="N42" s="2"/>
      <c r="O42" s="2"/>
      <c r="P42" s="10" t="s">
        <v>1048</v>
      </c>
    </row>
    <row r="43" ht="34" spans="1:16">
      <c r="A43" s="1" t="s">
        <v>1049</v>
      </c>
      <c r="B43" s="492"/>
      <c r="C43" s="2">
        <v>80</v>
      </c>
      <c r="D43" s="2">
        <v>30</v>
      </c>
      <c r="E43" s="2">
        <v>40</v>
      </c>
      <c r="F43" s="2">
        <v>0</v>
      </c>
      <c r="G43" s="3">
        <v>16</v>
      </c>
      <c r="H43" s="4">
        <v>139</v>
      </c>
      <c r="I43" s="5">
        <v>150</v>
      </c>
      <c r="J43" s="2">
        <f t="shared" si="0"/>
        <v>305</v>
      </c>
      <c r="K43" s="12" t="s">
        <v>60</v>
      </c>
      <c r="L43" s="2"/>
      <c r="M43" s="2"/>
      <c r="N43" s="2"/>
      <c r="O43" s="2"/>
      <c r="P43" s="10" t="s">
        <v>1050</v>
      </c>
    </row>
    <row r="44" ht="17" spans="1:16">
      <c r="A44" s="1" t="s">
        <v>1051</v>
      </c>
      <c r="B44" s="493"/>
      <c r="C44" s="2">
        <v>76</v>
      </c>
      <c r="D44" s="2">
        <v>46</v>
      </c>
      <c r="E44" s="2">
        <v>53</v>
      </c>
      <c r="F44" s="2">
        <v>22</v>
      </c>
      <c r="G44" s="3">
        <v>66</v>
      </c>
      <c r="H44" s="4">
        <v>102</v>
      </c>
      <c r="I44" s="5">
        <v>102</v>
      </c>
      <c r="J44" s="2">
        <f t="shared" si="0"/>
        <v>270</v>
      </c>
      <c r="K44" s="2"/>
      <c r="L44" s="2"/>
      <c r="M44" s="12"/>
      <c r="N44" s="2"/>
      <c r="O44" s="2"/>
      <c r="P44" s="10" t="s">
        <v>1052</v>
      </c>
    </row>
    <row r="45" ht="17" spans="1:16">
      <c r="A45" s="494" t="s">
        <v>1053</v>
      </c>
      <c r="B45" s="495"/>
      <c r="C45" s="2">
        <v>85</v>
      </c>
      <c r="D45" s="2">
        <v>50</v>
      </c>
      <c r="E45" s="2">
        <v>60</v>
      </c>
      <c r="F45" s="2">
        <v>5</v>
      </c>
      <c r="G45" s="3">
        <v>34</v>
      </c>
      <c r="H45" s="4">
        <v>107</v>
      </c>
      <c r="I45" s="5">
        <v>104</v>
      </c>
      <c r="J45" s="2">
        <f t="shared" si="0"/>
        <v>245</v>
      </c>
      <c r="K45" s="12"/>
      <c r="L45" s="2"/>
      <c r="M45" s="2"/>
      <c r="N45" s="2"/>
      <c r="O45" s="2"/>
      <c r="P45" s="10" t="s">
        <v>1054</v>
      </c>
    </row>
    <row r="46" ht="34" spans="1:16">
      <c r="A46" s="1" t="s">
        <v>1055</v>
      </c>
      <c r="B46" s="496"/>
      <c r="C46" s="2">
        <v>90</v>
      </c>
      <c r="D46" s="2">
        <v>50</v>
      </c>
      <c r="E46" s="2">
        <v>40</v>
      </c>
      <c r="F46" s="2">
        <v>0</v>
      </c>
      <c r="G46" s="3">
        <v>0</v>
      </c>
      <c r="H46" s="4">
        <v>109</v>
      </c>
      <c r="I46" s="5">
        <v>135</v>
      </c>
      <c r="J46" s="2">
        <f t="shared" si="0"/>
        <v>244</v>
      </c>
      <c r="K46" s="12"/>
      <c r="L46" s="2"/>
      <c r="M46" s="2"/>
      <c r="N46" s="2"/>
      <c r="O46" s="2"/>
      <c r="P46" s="10" t="s">
        <v>1056</v>
      </c>
    </row>
    <row r="47" ht="17" spans="1:16">
      <c r="A47" s="1" t="s">
        <v>1057</v>
      </c>
      <c r="B47" s="497"/>
      <c r="C47" s="2">
        <v>76</v>
      </c>
      <c r="D47" s="2">
        <v>56</v>
      </c>
      <c r="E47" s="2">
        <v>50</v>
      </c>
      <c r="F47" s="2">
        <v>29</v>
      </c>
      <c r="G47" s="3">
        <v>65</v>
      </c>
      <c r="H47" s="4">
        <v>85</v>
      </c>
      <c r="I47" s="5">
        <v>93</v>
      </c>
      <c r="J47" s="2">
        <f t="shared" si="0"/>
        <v>243</v>
      </c>
      <c r="K47" s="2"/>
      <c r="L47" s="2"/>
      <c r="M47" s="12"/>
      <c r="N47" s="14"/>
      <c r="O47" s="2"/>
      <c r="P47" s="10" t="s">
        <v>1058</v>
      </c>
    </row>
    <row r="48" ht="84" spans="1:16">
      <c r="A48" s="1" t="s">
        <v>1059</v>
      </c>
      <c r="B48" s="498"/>
      <c r="C48" s="2">
        <v>95</v>
      </c>
      <c r="D48" s="2">
        <v>45</v>
      </c>
      <c r="E48" s="2">
        <v>55</v>
      </c>
      <c r="F48" s="2">
        <v>0</v>
      </c>
      <c r="G48" s="3">
        <v>0</v>
      </c>
      <c r="H48" s="4">
        <v>113</v>
      </c>
      <c r="I48" s="5">
        <v>117</v>
      </c>
      <c r="J48" s="2">
        <f t="shared" si="0"/>
        <v>230</v>
      </c>
      <c r="K48" s="12"/>
      <c r="L48" s="2"/>
      <c r="M48" s="2"/>
      <c r="N48" s="2"/>
      <c r="O48" s="2"/>
      <c r="P48" s="10" t="s">
        <v>1060</v>
      </c>
    </row>
    <row r="49" ht="168" spans="1:16">
      <c r="A49" s="1" t="s">
        <v>1061</v>
      </c>
      <c r="B49" s="499"/>
      <c r="C49" s="2">
        <v>40</v>
      </c>
      <c r="D49" s="2">
        <v>0</v>
      </c>
      <c r="E49" s="2">
        <v>20</v>
      </c>
      <c r="F49" s="2">
        <v>75</v>
      </c>
      <c r="G49" s="3">
        <v>59</v>
      </c>
      <c r="H49" s="4">
        <v>85</v>
      </c>
      <c r="I49" s="5">
        <v>84</v>
      </c>
      <c r="J49" s="2">
        <f t="shared" si="0"/>
        <v>228</v>
      </c>
      <c r="K49" s="2"/>
      <c r="L49" s="2"/>
      <c r="M49" s="12" t="s">
        <v>1062</v>
      </c>
      <c r="N49" s="14"/>
      <c r="O49" s="9"/>
      <c r="P49" s="6" t="s">
        <v>1063</v>
      </c>
    </row>
    <row r="50" ht="17" spans="1:16">
      <c r="A50" s="1" t="s">
        <v>1064</v>
      </c>
      <c r="B50" s="500"/>
      <c r="C50" s="2">
        <v>72</v>
      </c>
      <c r="D50" s="2">
        <v>58</v>
      </c>
      <c r="E50" s="2">
        <v>54</v>
      </c>
      <c r="F50" s="2">
        <v>36</v>
      </c>
      <c r="G50" s="3">
        <v>66</v>
      </c>
      <c r="H50" s="4">
        <v>76</v>
      </c>
      <c r="I50" s="5">
        <v>80</v>
      </c>
      <c r="J50" s="2">
        <f t="shared" si="0"/>
        <v>222</v>
      </c>
      <c r="K50" s="2"/>
      <c r="L50" s="2"/>
      <c r="M50" s="12"/>
      <c r="N50" s="14"/>
      <c r="O50" s="2"/>
      <c r="P50" s="10" t="s">
        <v>1065</v>
      </c>
    </row>
    <row r="51" ht="51" spans="1:16">
      <c r="A51" s="1" t="s">
        <v>1066</v>
      </c>
      <c r="B51" s="501"/>
      <c r="C51" s="2"/>
      <c r="D51" s="2"/>
      <c r="E51" s="2"/>
      <c r="F51" s="2">
        <v>36</v>
      </c>
      <c r="G51" s="3">
        <v>43</v>
      </c>
      <c r="H51" s="4">
        <v>186</v>
      </c>
      <c r="I51" s="5">
        <v>190</v>
      </c>
      <c r="J51" s="2">
        <v>207</v>
      </c>
      <c r="K51" s="12"/>
      <c r="L51" s="2"/>
      <c r="M51" s="2"/>
      <c r="N51" s="2"/>
      <c r="O51" s="2"/>
      <c r="P51" s="10" t="s">
        <v>1067</v>
      </c>
    </row>
    <row r="52" ht="68" spans="1:16">
      <c r="A52" s="1" t="s">
        <v>1068</v>
      </c>
      <c r="B52" s="502"/>
      <c r="C52" s="2">
        <v>90</v>
      </c>
      <c r="D52" s="2">
        <v>75</v>
      </c>
      <c r="E52" s="2">
        <v>65</v>
      </c>
      <c r="F52" s="2">
        <v>10</v>
      </c>
      <c r="G52" s="3">
        <v>40</v>
      </c>
      <c r="H52" s="4">
        <v>72</v>
      </c>
      <c r="I52" s="5">
        <v>82</v>
      </c>
      <c r="J52" s="2">
        <f>G52+H52+I52</f>
        <v>194</v>
      </c>
      <c r="K52" s="12" t="s">
        <v>60</v>
      </c>
      <c r="L52" s="2"/>
      <c r="M52" s="2"/>
      <c r="N52" s="2"/>
      <c r="O52" s="2"/>
      <c r="P52" s="10" t="s">
        <v>1069</v>
      </c>
    </row>
    <row r="53" ht="84" spans="1:16">
      <c r="A53" s="1" t="s">
        <v>1070</v>
      </c>
      <c r="B53" s="503"/>
      <c r="C53" s="2">
        <v>95</v>
      </c>
      <c r="D53" s="2">
        <v>80</v>
      </c>
      <c r="E53" s="2">
        <v>75</v>
      </c>
      <c r="F53" s="2">
        <v>25</v>
      </c>
      <c r="G53" s="3">
        <v>19</v>
      </c>
      <c r="H53" s="4">
        <v>57</v>
      </c>
      <c r="I53" s="5">
        <v>62</v>
      </c>
      <c r="J53" s="2">
        <f>G53+H53+I53</f>
        <v>138</v>
      </c>
      <c r="K53" s="12" t="s">
        <v>60</v>
      </c>
      <c r="L53" s="2"/>
      <c r="M53" s="2"/>
      <c r="N53" s="2"/>
      <c r="O53" s="2"/>
      <c r="P53" s="10" t="s">
        <v>1071</v>
      </c>
    </row>
  </sheetData>
  <mergeCells count="2">
    <mergeCell ref="C1:F1"/>
    <mergeCell ref="G1:I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P97"/>
  <sheetViews>
    <sheetView zoomScale="73" zoomScaleNormal="73" workbookViewId="0">
      <pane xSplit="2" ySplit="1" topLeftCell="C2" activePane="bottomRight" state="frozen"/>
      <selection/>
      <selection pane="topRight"/>
      <selection pane="bottomLeft"/>
      <selection pane="bottomRight" activeCell="A2" sqref="A2"/>
    </sheetView>
  </sheetViews>
  <sheetFormatPr defaultColWidth="9" defaultRowHeight="16.8"/>
  <cols>
    <col min="1" max="1" width="8.88392857142857" style="350"/>
    <col min="2" max="2" width="8.88392857142857" style="351"/>
    <col min="3" max="3" width="4.22321428571429" style="351" customWidth="1"/>
    <col min="4" max="4" width="4" style="351" customWidth="1"/>
    <col min="5" max="5" width="3.55357142857143" style="351" customWidth="1"/>
    <col min="6" max="6" width="3.4375" style="351" customWidth="1"/>
    <col min="7" max="7" width="4.88392857142857" style="352" customWidth="1"/>
    <col min="8" max="8" width="4.77678571428571" style="353" customWidth="1"/>
    <col min="9" max="9" width="4.66071428571429" style="354" customWidth="1"/>
    <col min="10" max="10" width="5" style="351" customWidth="1"/>
    <col min="11" max="11" width="13.6607142857143" style="351" customWidth="1"/>
    <col min="12" max="12" width="8.88392857142857" style="351"/>
    <col min="13" max="13" width="14.7767857142857" style="351" customWidth="1"/>
    <col min="14" max="14" width="10.7767857142857" style="351" customWidth="1"/>
    <col min="15" max="15" width="13.1071428571429" style="351" customWidth="1"/>
    <col min="16" max="16" width="188.883928571429" style="355" customWidth="1"/>
    <col min="17" max="16384" width="8.88392857142857" style="351"/>
  </cols>
  <sheetData>
    <row r="1" s="350" customFormat="1" ht="68" spans="1:16">
      <c r="A1" s="1" t="s">
        <v>0</v>
      </c>
      <c r="B1" s="1" t="s">
        <v>1</v>
      </c>
      <c r="C1" s="1" t="s">
        <v>2</v>
      </c>
      <c r="D1" s="1"/>
      <c r="E1" s="1"/>
      <c r="F1" s="1"/>
      <c r="G1" s="1" t="s">
        <v>3</v>
      </c>
      <c r="H1" s="1"/>
      <c r="I1" s="1"/>
      <c r="J1" s="1"/>
      <c r="K1" s="1" t="s">
        <v>4</v>
      </c>
      <c r="L1" s="1" t="s">
        <v>5</v>
      </c>
      <c r="M1" s="1" t="s">
        <v>6</v>
      </c>
      <c r="N1" s="1" t="s">
        <v>7</v>
      </c>
      <c r="O1" s="1" t="s">
        <v>8</v>
      </c>
      <c r="P1" s="10" t="s">
        <v>9</v>
      </c>
    </row>
    <row r="2" ht="17" spans="1:16">
      <c r="A2" s="1" t="s">
        <v>0</v>
      </c>
      <c r="B2" s="2"/>
      <c r="C2" s="2" t="s">
        <v>10</v>
      </c>
      <c r="D2" s="2" t="s">
        <v>11</v>
      </c>
      <c r="E2" s="2" t="s">
        <v>161</v>
      </c>
      <c r="F2" s="2" t="s">
        <v>13</v>
      </c>
      <c r="G2" s="3" t="s">
        <v>14</v>
      </c>
      <c r="H2" s="4" t="s">
        <v>15</v>
      </c>
      <c r="I2" s="5" t="s">
        <v>16</v>
      </c>
      <c r="J2" s="2" t="s">
        <v>17</v>
      </c>
      <c r="K2" s="12"/>
      <c r="L2" s="2"/>
      <c r="M2" s="2"/>
      <c r="N2" s="2"/>
      <c r="O2" s="2"/>
      <c r="P2" s="10"/>
    </row>
    <row r="3" ht="34" spans="1:16">
      <c r="A3" s="1" t="s">
        <v>1072</v>
      </c>
      <c r="B3" s="356"/>
      <c r="C3" s="2">
        <v>4</v>
      </c>
      <c r="D3" s="2">
        <v>11</v>
      </c>
      <c r="E3" s="2">
        <v>9</v>
      </c>
      <c r="F3" s="2">
        <v>0</v>
      </c>
      <c r="G3" s="3">
        <v>242</v>
      </c>
      <c r="H3" s="4">
        <v>231</v>
      </c>
      <c r="I3" s="5">
        <v>229</v>
      </c>
      <c r="J3" s="2">
        <f>G3+H3+I3</f>
        <v>702</v>
      </c>
      <c r="K3" s="2"/>
      <c r="L3" s="17"/>
      <c r="M3" s="2"/>
      <c r="N3" s="2"/>
      <c r="O3" s="2"/>
      <c r="P3" s="10"/>
    </row>
    <row r="4" ht="34" spans="1:16">
      <c r="A4" s="1" t="s">
        <v>1073</v>
      </c>
      <c r="B4" s="357"/>
      <c r="C4" s="2">
        <v>6</v>
      </c>
      <c r="D4" s="2">
        <v>13</v>
      </c>
      <c r="E4" s="2">
        <v>7</v>
      </c>
      <c r="F4" s="2">
        <v>0</v>
      </c>
      <c r="G4" s="3">
        <v>237</v>
      </c>
      <c r="H4" s="4">
        <v>227</v>
      </c>
      <c r="I4" s="5">
        <v>231</v>
      </c>
      <c r="J4" s="2">
        <f>G4+H4+I4</f>
        <v>695</v>
      </c>
      <c r="K4" s="2"/>
      <c r="L4" s="17"/>
      <c r="M4" s="2"/>
      <c r="N4" s="2"/>
      <c r="O4" s="2"/>
      <c r="P4" s="10"/>
    </row>
    <row r="5" ht="34" spans="1:16">
      <c r="A5" s="1" t="s">
        <v>1074</v>
      </c>
      <c r="B5" s="358"/>
      <c r="C5" s="2">
        <v>7</v>
      </c>
      <c r="D5" s="2">
        <v>20</v>
      </c>
      <c r="E5" s="2">
        <v>8</v>
      </c>
      <c r="F5" s="2">
        <v>0</v>
      </c>
      <c r="G5" s="3">
        <v>233</v>
      </c>
      <c r="H5" s="4">
        <v>215</v>
      </c>
      <c r="I5" s="5">
        <v>223</v>
      </c>
      <c r="J5" s="2">
        <f>G5+H5+I5</f>
        <v>671</v>
      </c>
      <c r="K5" s="2"/>
      <c r="L5" s="17"/>
      <c r="M5" s="2"/>
      <c r="N5" s="2"/>
      <c r="O5" s="2"/>
      <c r="P5" s="10"/>
    </row>
    <row r="6" ht="17" spans="1:16">
      <c r="A6" s="1" t="s">
        <v>1075</v>
      </c>
      <c r="B6" s="359"/>
      <c r="C6" s="2">
        <v>3</v>
      </c>
      <c r="D6" s="2">
        <v>26</v>
      </c>
      <c r="E6" s="2">
        <v>10</v>
      </c>
      <c r="F6" s="2">
        <v>0</v>
      </c>
      <c r="G6" s="3">
        <v>233</v>
      </c>
      <c r="H6" s="4">
        <v>204</v>
      </c>
      <c r="I6" s="5">
        <v>211</v>
      </c>
      <c r="J6" s="2">
        <f>G6+H6+I6</f>
        <v>648</v>
      </c>
      <c r="K6" s="2"/>
      <c r="L6" s="17"/>
      <c r="M6" s="2"/>
      <c r="N6" s="2"/>
      <c r="O6" s="2"/>
      <c r="P6" s="10"/>
    </row>
    <row r="7" ht="34" spans="1:16">
      <c r="A7" s="1" t="s">
        <v>1076</v>
      </c>
      <c r="B7" s="360"/>
      <c r="C7" s="2">
        <v>15</v>
      </c>
      <c r="D7" s="2">
        <v>25</v>
      </c>
      <c r="E7" s="2">
        <v>0</v>
      </c>
      <c r="F7" s="2">
        <v>0</v>
      </c>
      <c r="G7" s="3">
        <v>220</v>
      </c>
      <c r="H7" s="4">
        <v>199</v>
      </c>
      <c r="I7" s="5">
        <v>225</v>
      </c>
      <c r="J7" s="2">
        <f t="shared" ref="J7:J67" si="0">G7+H7+I7</f>
        <v>644</v>
      </c>
      <c r="K7" s="12"/>
      <c r="L7" s="2"/>
      <c r="M7" s="2"/>
      <c r="N7" s="2"/>
      <c r="O7" s="2"/>
      <c r="P7" s="10" t="s">
        <v>1077</v>
      </c>
    </row>
    <row r="8" ht="17" spans="1:16">
      <c r="A8" s="1" t="s">
        <v>1078</v>
      </c>
      <c r="B8" s="361"/>
      <c r="C8" s="2">
        <v>10</v>
      </c>
      <c r="D8" s="2">
        <v>27</v>
      </c>
      <c r="E8" s="2">
        <v>11</v>
      </c>
      <c r="F8" s="2">
        <v>0</v>
      </c>
      <c r="G8" s="3">
        <v>224</v>
      </c>
      <c r="H8" s="4">
        <v>200</v>
      </c>
      <c r="I8" s="5">
        <v>209</v>
      </c>
      <c r="J8" s="2">
        <f t="shared" si="0"/>
        <v>633</v>
      </c>
      <c r="K8" s="2"/>
      <c r="L8" s="17"/>
      <c r="M8" s="2"/>
      <c r="N8" s="2"/>
      <c r="O8" s="2"/>
      <c r="P8" s="10"/>
    </row>
    <row r="9" ht="17" spans="1:16">
      <c r="A9" s="1" t="s">
        <v>1079</v>
      </c>
      <c r="B9" s="362"/>
      <c r="C9" s="2">
        <v>23</v>
      </c>
      <c r="D9" s="2">
        <v>18</v>
      </c>
      <c r="E9" s="2">
        <v>12</v>
      </c>
      <c r="F9" s="2">
        <v>1</v>
      </c>
      <c r="G9" s="3">
        <v>204</v>
      </c>
      <c r="H9" s="4">
        <v>204</v>
      </c>
      <c r="I9" s="5">
        <v>214</v>
      </c>
      <c r="J9" s="2">
        <f t="shared" si="0"/>
        <v>622</v>
      </c>
      <c r="K9" s="2"/>
      <c r="L9" s="17"/>
      <c r="M9" s="2"/>
      <c r="N9" s="2"/>
      <c r="O9" s="2"/>
      <c r="P9" s="10"/>
    </row>
    <row r="10" ht="34" spans="1:16">
      <c r="A10" s="1" t="s">
        <v>1080</v>
      </c>
      <c r="B10" s="363"/>
      <c r="C10" s="2">
        <v>19</v>
      </c>
      <c r="D10" s="2">
        <v>27</v>
      </c>
      <c r="E10" s="2">
        <v>9</v>
      </c>
      <c r="F10" s="2">
        <v>0</v>
      </c>
      <c r="G10" s="3">
        <v>209</v>
      </c>
      <c r="H10" s="4">
        <v>194</v>
      </c>
      <c r="I10" s="5">
        <v>211</v>
      </c>
      <c r="J10" s="2">
        <f t="shared" si="0"/>
        <v>614</v>
      </c>
      <c r="K10" s="2"/>
      <c r="L10" s="17"/>
      <c r="M10" s="2"/>
      <c r="N10" s="2"/>
      <c r="O10" s="2"/>
      <c r="P10" s="10"/>
    </row>
    <row r="11" ht="118" spans="1:16">
      <c r="A11" s="1" t="s">
        <v>1081</v>
      </c>
      <c r="B11" s="364"/>
      <c r="C11" s="2">
        <v>8</v>
      </c>
      <c r="D11" s="2">
        <v>17</v>
      </c>
      <c r="E11" s="2">
        <v>0</v>
      </c>
      <c r="F11" s="2">
        <v>22</v>
      </c>
      <c r="G11" s="3">
        <v>200</v>
      </c>
      <c r="H11" s="4">
        <v>187</v>
      </c>
      <c r="I11" s="5">
        <v>201</v>
      </c>
      <c r="J11" s="2">
        <f t="shared" si="0"/>
        <v>588</v>
      </c>
      <c r="K11" s="2"/>
      <c r="L11" s="2"/>
      <c r="M11" s="2"/>
      <c r="N11" s="2"/>
      <c r="O11" s="9"/>
      <c r="P11" s="10" t="s">
        <v>1082</v>
      </c>
    </row>
    <row r="12" ht="17" spans="1:16">
      <c r="A12" s="1" t="s">
        <v>1083</v>
      </c>
      <c r="B12" s="365"/>
      <c r="C12" s="2">
        <v>21</v>
      </c>
      <c r="D12" s="2">
        <v>37</v>
      </c>
      <c r="E12" s="2">
        <v>12</v>
      </c>
      <c r="F12" s="2">
        <v>0</v>
      </c>
      <c r="G12" s="3">
        <v>200</v>
      </c>
      <c r="H12" s="4">
        <v>173</v>
      </c>
      <c r="I12" s="5">
        <v>196</v>
      </c>
      <c r="J12" s="2">
        <f t="shared" si="0"/>
        <v>569</v>
      </c>
      <c r="K12" s="2"/>
      <c r="L12" s="17"/>
      <c r="M12" s="2"/>
      <c r="N12" s="2"/>
      <c r="O12" s="2"/>
      <c r="P12" s="10"/>
    </row>
    <row r="13" ht="17" spans="1:16">
      <c r="A13" s="1" t="s">
        <v>1084</v>
      </c>
      <c r="B13" s="366"/>
      <c r="C13" s="2">
        <v>30</v>
      </c>
      <c r="D13" s="2">
        <v>34</v>
      </c>
      <c r="E13" s="2">
        <v>0</v>
      </c>
      <c r="F13" s="2">
        <v>0</v>
      </c>
      <c r="G13" s="3">
        <v>176</v>
      </c>
      <c r="H13" s="4">
        <v>164</v>
      </c>
      <c r="I13" s="5">
        <v>227</v>
      </c>
      <c r="J13" s="2">
        <f t="shared" si="0"/>
        <v>567</v>
      </c>
      <c r="K13" s="2"/>
      <c r="L13" s="2"/>
      <c r="M13" s="12"/>
      <c r="N13" s="2"/>
      <c r="O13" s="2"/>
      <c r="P13" s="10" t="s">
        <v>1085</v>
      </c>
    </row>
    <row r="14" ht="17" spans="1:16">
      <c r="A14" s="1" t="s">
        <v>1086</v>
      </c>
      <c r="B14" s="367"/>
      <c r="C14" s="2">
        <v>30</v>
      </c>
      <c r="D14" s="2">
        <v>40</v>
      </c>
      <c r="E14" s="2">
        <v>0</v>
      </c>
      <c r="F14" s="2">
        <v>0</v>
      </c>
      <c r="G14" s="3">
        <v>187</v>
      </c>
      <c r="H14" s="4">
        <v>161</v>
      </c>
      <c r="I14" s="5">
        <v>203</v>
      </c>
      <c r="J14" s="2">
        <f t="shared" si="0"/>
        <v>551</v>
      </c>
      <c r="K14" s="12"/>
      <c r="L14" s="2"/>
      <c r="M14" s="2"/>
      <c r="N14" s="2"/>
      <c r="O14" s="2"/>
      <c r="P14" s="10" t="s">
        <v>1087</v>
      </c>
    </row>
    <row r="15" ht="17" spans="1:16">
      <c r="A15" s="1" t="s">
        <v>1088</v>
      </c>
      <c r="B15" s="368"/>
      <c r="C15" s="2">
        <v>40</v>
      </c>
      <c r="D15" s="2">
        <v>30</v>
      </c>
      <c r="E15" s="2">
        <v>0</v>
      </c>
      <c r="F15" s="2">
        <v>0</v>
      </c>
      <c r="G15" s="3">
        <v>164</v>
      </c>
      <c r="H15" s="4">
        <v>171</v>
      </c>
      <c r="I15" s="5">
        <v>214</v>
      </c>
      <c r="J15" s="2">
        <f t="shared" si="0"/>
        <v>549</v>
      </c>
      <c r="K15" s="12"/>
      <c r="L15" s="2"/>
      <c r="M15" s="2"/>
      <c r="N15" s="2"/>
      <c r="O15" s="2"/>
      <c r="P15" s="10" t="s">
        <v>1089</v>
      </c>
    </row>
    <row r="16" ht="17" spans="1:16">
      <c r="A16" s="1" t="s">
        <v>1090</v>
      </c>
      <c r="B16" s="369"/>
      <c r="C16" s="2">
        <v>20</v>
      </c>
      <c r="D16" s="2">
        <v>50</v>
      </c>
      <c r="E16" s="2">
        <v>0</v>
      </c>
      <c r="F16" s="2">
        <v>0</v>
      </c>
      <c r="G16" s="3">
        <v>206</v>
      </c>
      <c r="H16" s="4">
        <v>147</v>
      </c>
      <c r="I16" s="5">
        <v>191</v>
      </c>
      <c r="J16" s="2">
        <f t="shared" si="0"/>
        <v>544</v>
      </c>
      <c r="K16" s="12"/>
      <c r="L16" s="2"/>
      <c r="M16" s="19">
        <v>204164227</v>
      </c>
      <c r="N16" s="2"/>
      <c r="O16" s="2"/>
      <c r="P16" s="10" t="s">
        <v>1091</v>
      </c>
    </row>
    <row r="17" ht="17" spans="1:16">
      <c r="A17" s="1" t="s">
        <v>1092</v>
      </c>
      <c r="B17" s="370"/>
      <c r="C17" s="2">
        <v>39</v>
      </c>
      <c r="D17" s="2">
        <v>31</v>
      </c>
      <c r="E17" s="2">
        <v>17</v>
      </c>
      <c r="F17" s="2">
        <v>2</v>
      </c>
      <c r="G17" s="3">
        <v>167</v>
      </c>
      <c r="H17" s="4">
        <v>168</v>
      </c>
      <c r="I17" s="5">
        <v>189</v>
      </c>
      <c r="J17" s="2">
        <f t="shared" si="0"/>
        <v>524</v>
      </c>
      <c r="K17" s="2"/>
      <c r="L17" s="17"/>
      <c r="M17" s="2"/>
      <c r="N17" s="2"/>
      <c r="O17" s="2"/>
      <c r="P17" s="10"/>
    </row>
    <row r="18" ht="17" spans="1:16">
      <c r="A18" s="1" t="s">
        <v>1093</v>
      </c>
      <c r="B18" s="371"/>
      <c r="C18" s="2">
        <v>23</v>
      </c>
      <c r="D18" s="2">
        <v>53</v>
      </c>
      <c r="E18" s="2">
        <v>14</v>
      </c>
      <c r="F18" s="2">
        <v>1</v>
      </c>
      <c r="G18" s="3">
        <v>192</v>
      </c>
      <c r="H18" s="4">
        <v>142</v>
      </c>
      <c r="I18" s="5">
        <v>175</v>
      </c>
      <c r="J18" s="2">
        <f t="shared" si="0"/>
        <v>509</v>
      </c>
      <c r="K18" s="2"/>
      <c r="L18" s="17"/>
      <c r="M18" s="2"/>
      <c r="N18" s="2"/>
      <c r="O18" s="2"/>
      <c r="P18" s="10"/>
    </row>
    <row r="19" ht="34" spans="1:16">
      <c r="A19" s="1" t="s">
        <v>1094</v>
      </c>
      <c r="B19" s="372"/>
      <c r="C19" s="2">
        <v>24</v>
      </c>
      <c r="D19" s="2">
        <v>58</v>
      </c>
      <c r="E19" s="2">
        <v>15</v>
      </c>
      <c r="F19" s="2">
        <v>1</v>
      </c>
      <c r="G19" s="3">
        <v>188</v>
      </c>
      <c r="H19" s="4">
        <v>132</v>
      </c>
      <c r="I19" s="5">
        <v>168</v>
      </c>
      <c r="J19" s="2">
        <f t="shared" si="0"/>
        <v>488</v>
      </c>
      <c r="K19" s="2"/>
      <c r="L19" s="17"/>
      <c r="M19" s="2"/>
      <c r="N19" s="2"/>
      <c r="O19" s="2"/>
      <c r="P19" s="10"/>
    </row>
    <row r="20" ht="17" spans="1:16">
      <c r="A20" s="1" t="s">
        <v>1095</v>
      </c>
      <c r="B20" s="373"/>
      <c r="C20" s="2">
        <v>30</v>
      </c>
      <c r="D20" s="2">
        <v>60</v>
      </c>
      <c r="E20" s="2">
        <v>0</v>
      </c>
      <c r="F20" s="2">
        <v>0</v>
      </c>
      <c r="G20" s="3">
        <v>186</v>
      </c>
      <c r="H20" s="4">
        <v>121</v>
      </c>
      <c r="I20" s="5">
        <v>177</v>
      </c>
      <c r="J20" s="2">
        <f t="shared" si="0"/>
        <v>484</v>
      </c>
      <c r="K20" s="12"/>
      <c r="L20" s="2"/>
      <c r="M20" s="2"/>
      <c r="N20" s="2"/>
      <c r="O20" s="2"/>
      <c r="P20" s="10" t="s">
        <v>1096</v>
      </c>
    </row>
    <row r="21" ht="34" spans="1:16">
      <c r="A21" s="1" t="s">
        <v>1097</v>
      </c>
      <c r="B21" s="374"/>
      <c r="C21" s="2">
        <v>40</v>
      </c>
      <c r="D21" s="2">
        <v>55</v>
      </c>
      <c r="E21" s="2">
        <v>0</v>
      </c>
      <c r="F21" s="2">
        <v>0</v>
      </c>
      <c r="G21" s="3">
        <v>166</v>
      </c>
      <c r="H21" s="4">
        <v>126</v>
      </c>
      <c r="I21" s="5">
        <v>183</v>
      </c>
      <c r="J21" s="2">
        <f t="shared" si="0"/>
        <v>475</v>
      </c>
      <c r="K21" s="12"/>
      <c r="L21" s="2"/>
      <c r="M21" s="2"/>
      <c r="N21" s="2"/>
      <c r="O21" s="2"/>
      <c r="P21" s="10" t="s">
        <v>1098</v>
      </c>
    </row>
    <row r="22" ht="17" spans="1:16">
      <c r="A22" s="1" t="s">
        <v>1099</v>
      </c>
      <c r="B22" s="375"/>
      <c r="C22" s="2">
        <v>45</v>
      </c>
      <c r="D22" s="2">
        <v>45</v>
      </c>
      <c r="E22" s="2">
        <v>20</v>
      </c>
      <c r="F22" s="2">
        <v>0</v>
      </c>
      <c r="G22" s="3">
        <v>155</v>
      </c>
      <c r="H22" s="4">
        <v>142</v>
      </c>
      <c r="I22" s="5">
        <v>169</v>
      </c>
      <c r="J22" s="2">
        <f t="shared" si="0"/>
        <v>466</v>
      </c>
      <c r="K22" s="12"/>
      <c r="L22" s="2"/>
      <c r="M22" s="2"/>
      <c r="N22" s="2"/>
      <c r="O22" s="2"/>
      <c r="P22" s="10" t="s">
        <v>1100</v>
      </c>
    </row>
    <row r="23" ht="17" spans="1:16">
      <c r="A23" s="1" t="s">
        <v>1101</v>
      </c>
      <c r="B23" s="376"/>
      <c r="C23" s="2">
        <v>19</v>
      </c>
      <c r="D23" s="2">
        <v>68</v>
      </c>
      <c r="E23" s="2">
        <v>18</v>
      </c>
      <c r="F23" s="2">
        <v>1</v>
      </c>
      <c r="G23" s="3">
        <v>192</v>
      </c>
      <c r="H23" s="4">
        <v>111</v>
      </c>
      <c r="I23" s="5">
        <v>152</v>
      </c>
      <c r="J23" s="2">
        <f t="shared" si="0"/>
        <v>455</v>
      </c>
      <c r="K23" s="2"/>
      <c r="L23" s="17"/>
      <c r="M23" s="2"/>
      <c r="N23" s="2"/>
      <c r="O23" s="2"/>
      <c r="P23" s="10"/>
    </row>
    <row r="24" ht="17" spans="1:16">
      <c r="A24" s="1" t="s">
        <v>1102</v>
      </c>
      <c r="B24" s="377"/>
      <c r="C24" s="2">
        <v>60</v>
      </c>
      <c r="D24" s="2">
        <v>50</v>
      </c>
      <c r="E24" s="2">
        <v>0</v>
      </c>
      <c r="F24" s="2">
        <v>0</v>
      </c>
      <c r="G24" s="3">
        <v>117</v>
      </c>
      <c r="H24" s="4">
        <v>124</v>
      </c>
      <c r="I24" s="5">
        <v>187</v>
      </c>
      <c r="J24" s="2">
        <f t="shared" si="0"/>
        <v>428</v>
      </c>
      <c r="K24" s="12"/>
      <c r="L24" s="2"/>
      <c r="M24" s="2"/>
      <c r="N24" s="2"/>
      <c r="O24" s="2"/>
      <c r="P24" s="10" t="s">
        <v>1103</v>
      </c>
    </row>
    <row r="25" ht="17" spans="1:16">
      <c r="A25" s="1" t="s">
        <v>1104</v>
      </c>
      <c r="B25" s="378"/>
      <c r="C25" s="2">
        <v>31</v>
      </c>
      <c r="D25" s="2">
        <v>71</v>
      </c>
      <c r="E25" s="2">
        <v>15</v>
      </c>
      <c r="F25" s="2">
        <v>1</v>
      </c>
      <c r="G25" s="3">
        <v>173</v>
      </c>
      <c r="H25" s="4">
        <v>101</v>
      </c>
      <c r="I25" s="5">
        <v>152</v>
      </c>
      <c r="J25" s="2">
        <f t="shared" si="0"/>
        <v>426</v>
      </c>
      <c r="K25" s="2"/>
      <c r="L25" s="17"/>
      <c r="M25" s="2"/>
      <c r="N25" s="2"/>
      <c r="O25" s="2"/>
      <c r="P25" s="10"/>
    </row>
    <row r="26" ht="17" spans="1:16">
      <c r="A26" s="1" t="s">
        <v>1105</v>
      </c>
      <c r="B26" s="379"/>
      <c r="C26" s="2">
        <v>58</v>
      </c>
      <c r="D26" s="2">
        <v>56</v>
      </c>
      <c r="E26" s="2">
        <v>17</v>
      </c>
      <c r="F26" s="2">
        <v>2</v>
      </c>
      <c r="G26" s="3">
        <v>128</v>
      </c>
      <c r="H26" s="4">
        <v>118</v>
      </c>
      <c r="I26" s="5">
        <v>163</v>
      </c>
      <c r="J26" s="2">
        <f t="shared" si="0"/>
        <v>409</v>
      </c>
      <c r="K26" s="2"/>
      <c r="L26" s="17"/>
      <c r="M26" s="2"/>
      <c r="N26" s="2"/>
      <c r="O26" s="2"/>
      <c r="P26" s="10"/>
    </row>
    <row r="27" ht="17" spans="1:16">
      <c r="A27" s="1" t="s">
        <v>1106</v>
      </c>
      <c r="B27" s="380"/>
      <c r="C27" s="2">
        <v>40</v>
      </c>
      <c r="D27" s="2">
        <v>75</v>
      </c>
      <c r="E27" s="2">
        <v>0</v>
      </c>
      <c r="F27" s="2">
        <v>0</v>
      </c>
      <c r="G27" s="3">
        <v>166</v>
      </c>
      <c r="H27" s="4">
        <v>85</v>
      </c>
      <c r="I27" s="5">
        <v>157</v>
      </c>
      <c r="J27" s="2">
        <f t="shared" si="0"/>
        <v>408</v>
      </c>
      <c r="K27" s="12"/>
      <c r="L27" s="2"/>
      <c r="M27" s="2"/>
      <c r="N27" s="2"/>
      <c r="O27" s="2"/>
      <c r="P27" s="10" t="s">
        <v>1107</v>
      </c>
    </row>
    <row r="28" ht="17" spans="1:16">
      <c r="A28" s="1" t="s">
        <v>1108</v>
      </c>
      <c r="B28" s="381"/>
      <c r="C28" s="2">
        <v>35</v>
      </c>
      <c r="D28" s="2">
        <v>75</v>
      </c>
      <c r="E28" s="2">
        <v>18</v>
      </c>
      <c r="F28" s="2">
        <v>2</v>
      </c>
      <c r="G28" s="3">
        <v>163</v>
      </c>
      <c r="H28" s="4">
        <v>92</v>
      </c>
      <c r="I28" s="5">
        <v>143</v>
      </c>
      <c r="J28" s="2">
        <f t="shared" si="0"/>
        <v>398</v>
      </c>
      <c r="K28" s="2"/>
      <c r="L28" s="17"/>
      <c r="M28" s="2"/>
      <c r="N28" s="2"/>
      <c r="O28" s="2"/>
      <c r="P28" s="10"/>
    </row>
    <row r="29" ht="34" spans="1:16">
      <c r="A29" s="1" t="s">
        <v>1109</v>
      </c>
      <c r="B29" s="382"/>
      <c r="C29" s="2">
        <v>40</v>
      </c>
      <c r="D29" s="2">
        <v>70</v>
      </c>
      <c r="E29" s="2">
        <v>30</v>
      </c>
      <c r="F29" s="2">
        <v>0</v>
      </c>
      <c r="G29" s="3">
        <v>167</v>
      </c>
      <c r="H29" s="4">
        <v>98</v>
      </c>
      <c r="I29" s="5">
        <v>131</v>
      </c>
      <c r="J29" s="2">
        <f t="shared" si="0"/>
        <v>396</v>
      </c>
      <c r="K29" s="12"/>
      <c r="L29" s="2"/>
      <c r="M29" s="2"/>
      <c r="N29" s="2"/>
      <c r="O29" s="2"/>
      <c r="P29" s="10" t="s">
        <v>1110</v>
      </c>
    </row>
    <row r="30" ht="17" spans="1:16">
      <c r="A30" s="1" t="s">
        <v>1111</v>
      </c>
      <c r="B30" s="383"/>
      <c r="C30" s="2">
        <v>57</v>
      </c>
      <c r="D30" s="2">
        <v>62</v>
      </c>
      <c r="E30" s="2">
        <v>16</v>
      </c>
      <c r="F30" s="2">
        <v>2</v>
      </c>
      <c r="G30" s="3">
        <v>128</v>
      </c>
      <c r="H30" s="4">
        <v>109</v>
      </c>
      <c r="I30" s="5">
        <v>158</v>
      </c>
      <c r="J30" s="2">
        <f t="shared" si="0"/>
        <v>395</v>
      </c>
      <c r="K30" s="2"/>
      <c r="L30" s="17"/>
      <c r="M30" s="2"/>
      <c r="N30" s="2"/>
      <c r="O30" s="2"/>
      <c r="P30" s="10"/>
    </row>
    <row r="31" ht="17" spans="1:16">
      <c r="A31" s="1" t="s">
        <v>1112</v>
      </c>
      <c r="B31" s="384"/>
      <c r="C31" s="2">
        <v>63</v>
      </c>
      <c r="D31" s="2">
        <v>53</v>
      </c>
      <c r="E31" s="2">
        <v>22</v>
      </c>
      <c r="F31" s="2">
        <v>5</v>
      </c>
      <c r="G31" s="3">
        <v>116</v>
      </c>
      <c r="H31" s="4">
        <v>117</v>
      </c>
      <c r="I31" s="5">
        <v>155</v>
      </c>
      <c r="J31" s="2">
        <f t="shared" si="0"/>
        <v>388</v>
      </c>
      <c r="K31" s="2"/>
      <c r="L31" s="17"/>
      <c r="M31" s="2"/>
      <c r="N31" s="2"/>
      <c r="O31" s="2"/>
      <c r="P31" s="10"/>
    </row>
    <row r="32" ht="404" spans="1:16">
      <c r="A32" s="1" t="s">
        <v>1113</v>
      </c>
      <c r="B32" s="385"/>
      <c r="C32" s="2">
        <v>60</v>
      </c>
      <c r="D32" s="2">
        <v>70</v>
      </c>
      <c r="E32" s="2">
        <v>0</v>
      </c>
      <c r="F32" s="2">
        <v>0</v>
      </c>
      <c r="G32" s="3">
        <v>123</v>
      </c>
      <c r="H32" s="4">
        <v>89</v>
      </c>
      <c r="I32" s="5">
        <v>163</v>
      </c>
      <c r="J32" s="2">
        <f t="shared" si="0"/>
        <v>375</v>
      </c>
      <c r="K32" s="2"/>
      <c r="L32" s="2"/>
      <c r="M32" s="12" t="s">
        <v>1114</v>
      </c>
      <c r="N32" s="2"/>
      <c r="O32" s="2"/>
      <c r="P32" s="10" t="s">
        <v>1115</v>
      </c>
    </row>
    <row r="33" ht="17" spans="1:16">
      <c r="A33" s="1" t="s">
        <v>1116</v>
      </c>
      <c r="B33" s="386"/>
      <c r="C33" s="2">
        <v>45</v>
      </c>
      <c r="D33" s="2">
        <v>70</v>
      </c>
      <c r="E33" s="2">
        <v>30</v>
      </c>
      <c r="F33" s="2">
        <v>5</v>
      </c>
      <c r="G33" s="3">
        <v>153</v>
      </c>
      <c r="H33" s="4">
        <v>93</v>
      </c>
      <c r="I33" s="5">
        <v>127</v>
      </c>
      <c r="J33" s="2">
        <f t="shared" si="0"/>
        <v>373</v>
      </c>
      <c r="K33" s="12"/>
      <c r="L33" s="2"/>
      <c r="M33" s="2"/>
      <c r="N33" s="2"/>
      <c r="O33" s="2"/>
      <c r="P33" s="10" t="s">
        <v>1117</v>
      </c>
    </row>
    <row r="34" ht="17" spans="1:16">
      <c r="A34" s="1" t="s">
        <v>1118</v>
      </c>
      <c r="B34" s="387"/>
      <c r="C34" s="2">
        <v>56</v>
      </c>
      <c r="D34" s="2">
        <v>72</v>
      </c>
      <c r="E34" s="2">
        <v>15</v>
      </c>
      <c r="F34" s="2">
        <v>1</v>
      </c>
      <c r="G34" s="3">
        <v>129</v>
      </c>
      <c r="H34" s="4">
        <v>92</v>
      </c>
      <c r="I34" s="5">
        <v>148</v>
      </c>
      <c r="J34" s="2">
        <f t="shared" si="0"/>
        <v>369</v>
      </c>
      <c r="K34" s="2"/>
      <c r="L34" s="17"/>
      <c r="M34" s="2"/>
      <c r="N34" s="2"/>
      <c r="O34" s="2"/>
      <c r="P34" s="10"/>
    </row>
    <row r="35" ht="34" spans="1:16">
      <c r="A35" s="1" t="s">
        <v>1119</v>
      </c>
      <c r="B35" s="388"/>
      <c r="C35" s="2">
        <v>70</v>
      </c>
      <c r="D35" s="2">
        <v>65</v>
      </c>
      <c r="E35" s="2">
        <v>0</v>
      </c>
      <c r="F35" s="2">
        <v>0</v>
      </c>
      <c r="G35" s="3">
        <v>97</v>
      </c>
      <c r="H35" s="4">
        <v>94</v>
      </c>
      <c r="I35" s="5">
        <v>168</v>
      </c>
      <c r="J35" s="2">
        <f t="shared" si="0"/>
        <v>359</v>
      </c>
      <c r="K35" s="12"/>
      <c r="L35" s="2"/>
      <c r="M35" s="2"/>
      <c r="N35" s="2"/>
      <c r="O35" s="2"/>
      <c r="P35" s="10" t="s">
        <v>1120</v>
      </c>
    </row>
    <row r="36" ht="17" spans="1:16">
      <c r="A36" s="1" t="s">
        <v>1121</v>
      </c>
      <c r="B36" s="389"/>
      <c r="C36" s="2">
        <v>74</v>
      </c>
      <c r="D36" s="2">
        <v>64</v>
      </c>
      <c r="E36" s="2">
        <v>14</v>
      </c>
      <c r="F36" s="2">
        <v>1</v>
      </c>
      <c r="G36" s="3">
        <v>97</v>
      </c>
      <c r="H36" s="4">
        <v>100</v>
      </c>
      <c r="I36" s="5">
        <v>159</v>
      </c>
      <c r="J36" s="2">
        <f t="shared" si="0"/>
        <v>356</v>
      </c>
      <c r="K36" s="2"/>
      <c r="L36" s="17"/>
      <c r="M36" s="2"/>
      <c r="N36" s="2"/>
      <c r="O36" s="2"/>
      <c r="P36" s="10"/>
    </row>
    <row r="37" ht="17" spans="1:16">
      <c r="A37" s="1" t="s">
        <v>1122</v>
      </c>
      <c r="B37" s="390"/>
      <c r="C37" s="2">
        <v>18</v>
      </c>
      <c r="D37" s="2">
        <v>91</v>
      </c>
      <c r="E37" s="2">
        <v>18</v>
      </c>
      <c r="F37" s="2">
        <v>2</v>
      </c>
      <c r="G37" s="3">
        <v>186</v>
      </c>
      <c r="H37" s="4">
        <v>47</v>
      </c>
      <c r="I37" s="5">
        <v>123</v>
      </c>
      <c r="J37" s="2">
        <f t="shared" si="0"/>
        <v>356</v>
      </c>
      <c r="K37" s="2"/>
      <c r="L37" s="17"/>
      <c r="M37" s="2"/>
      <c r="N37" s="2"/>
      <c r="O37" s="2"/>
      <c r="P37" s="10"/>
    </row>
    <row r="38" ht="17" spans="1:16">
      <c r="A38" s="1" t="s">
        <v>1123</v>
      </c>
      <c r="B38" s="391"/>
      <c r="C38" s="2">
        <v>22</v>
      </c>
      <c r="D38" s="2">
        <v>83</v>
      </c>
      <c r="E38" s="2">
        <v>34</v>
      </c>
      <c r="F38" s="2">
        <v>11</v>
      </c>
      <c r="G38" s="3">
        <v>168</v>
      </c>
      <c r="H38" s="4">
        <v>69</v>
      </c>
      <c r="I38" s="5">
        <v>107</v>
      </c>
      <c r="J38" s="2">
        <f t="shared" si="0"/>
        <v>344</v>
      </c>
      <c r="K38" s="2"/>
      <c r="L38" s="17"/>
      <c r="M38" s="2"/>
      <c r="N38" s="2"/>
      <c r="O38" s="2"/>
      <c r="P38" s="10"/>
    </row>
    <row r="39" ht="17" spans="1:16">
      <c r="A39" s="1" t="s">
        <v>1124</v>
      </c>
      <c r="B39" s="392"/>
      <c r="C39" s="2">
        <v>63</v>
      </c>
      <c r="D39" s="2">
        <v>58</v>
      </c>
      <c r="E39" s="2">
        <v>33</v>
      </c>
      <c r="F39" s="2">
        <v>9</v>
      </c>
      <c r="G39" s="3">
        <v>107</v>
      </c>
      <c r="H39" s="4">
        <v>104</v>
      </c>
      <c r="I39" s="5">
        <v>130</v>
      </c>
      <c r="J39" s="2">
        <f t="shared" si="0"/>
        <v>341</v>
      </c>
      <c r="K39" s="2"/>
      <c r="L39" s="2"/>
      <c r="M39" s="12"/>
      <c r="N39" s="2"/>
      <c r="O39" s="2"/>
      <c r="P39" s="10" t="s">
        <v>1125</v>
      </c>
    </row>
    <row r="40" ht="17" spans="1:16">
      <c r="A40" s="1" t="s">
        <v>1126</v>
      </c>
      <c r="B40" s="393"/>
      <c r="C40" s="2">
        <v>60</v>
      </c>
      <c r="D40" s="2">
        <v>75</v>
      </c>
      <c r="E40" s="2">
        <v>25</v>
      </c>
      <c r="F40" s="2">
        <v>0</v>
      </c>
      <c r="G40" s="3">
        <v>125</v>
      </c>
      <c r="H40" s="4">
        <v>82</v>
      </c>
      <c r="I40" s="5">
        <v>132</v>
      </c>
      <c r="J40" s="2">
        <f t="shared" si="0"/>
        <v>339</v>
      </c>
      <c r="K40" s="12"/>
      <c r="L40" s="2"/>
      <c r="M40" s="2"/>
      <c r="N40" s="2"/>
      <c r="O40" s="2"/>
      <c r="P40" s="10" t="s">
        <v>1127</v>
      </c>
    </row>
    <row r="41" ht="17" spans="1:16">
      <c r="A41" s="1" t="s">
        <v>1128</v>
      </c>
      <c r="B41" s="394"/>
      <c r="C41" s="2">
        <v>61</v>
      </c>
      <c r="D41" s="2">
        <v>67</v>
      </c>
      <c r="E41" s="2">
        <v>28</v>
      </c>
      <c r="F41" s="2">
        <v>8</v>
      </c>
      <c r="G41" s="3">
        <v>114</v>
      </c>
      <c r="H41" s="4">
        <v>94</v>
      </c>
      <c r="I41" s="5">
        <v>130</v>
      </c>
      <c r="J41" s="2">
        <f t="shared" si="0"/>
        <v>338</v>
      </c>
      <c r="K41" s="2"/>
      <c r="L41" s="2"/>
      <c r="M41" s="12"/>
      <c r="N41" s="2"/>
      <c r="O41" s="2"/>
      <c r="P41" s="10" t="s">
        <v>1129</v>
      </c>
    </row>
    <row r="42" ht="17" spans="1:16">
      <c r="A42" s="1" t="s">
        <v>1130</v>
      </c>
      <c r="B42" s="395"/>
      <c r="C42" s="2">
        <v>60</v>
      </c>
      <c r="D42" s="2">
        <v>75</v>
      </c>
      <c r="E42" s="2">
        <v>30</v>
      </c>
      <c r="F42" s="2">
        <v>0</v>
      </c>
      <c r="G42" s="3">
        <v>126</v>
      </c>
      <c r="H42" s="4">
        <v>82</v>
      </c>
      <c r="I42" s="5">
        <v>127</v>
      </c>
      <c r="J42" s="2">
        <f t="shared" si="0"/>
        <v>335</v>
      </c>
      <c r="K42" s="12"/>
      <c r="L42" s="2"/>
      <c r="M42" s="2"/>
      <c r="N42" s="2"/>
      <c r="O42" s="2"/>
      <c r="P42" s="10" t="s">
        <v>1131</v>
      </c>
    </row>
    <row r="43" ht="17" spans="1:16">
      <c r="A43" s="1" t="s">
        <v>1132</v>
      </c>
      <c r="B43" s="396"/>
      <c r="C43" s="2">
        <v>39</v>
      </c>
      <c r="D43" s="2">
        <v>91</v>
      </c>
      <c r="E43" s="2">
        <v>15</v>
      </c>
      <c r="F43" s="2">
        <v>3</v>
      </c>
      <c r="G43" s="3">
        <v>152</v>
      </c>
      <c r="H43" s="4">
        <v>54</v>
      </c>
      <c r="I43" s="5">
        <v>128</v>
      </c>
      <c r="J43" s="2">
        <f t="shared" si="0"/>
        <v>334</v>
      </c>
      <c r="K43" s="2"/>
      <c r="L43" s="17"/>
      <c r="M43" s="2"/>
      <c r="N43" s="2"/>
      <c r="O43" s="2"/>
      <c r="P43" s="10"/>
    </row>
    <row r="44" ht="17" spans="1:16">
      <c r="A44" s="1" t="s">
        <v>1133</v>
      </c>
      <c r="B44" s="397"/>
      <c r="C44" s="2">
        <v>95</v>
      </c>
      <c r="D44" s="2">
        <v>100</v>
      </c>
      <c r="E44" s="2">
        <v>15</v>
      </c>
      <c r="F44" s="2">
        <v>4</v>
      </c>
      <c r="G44" s="3">
        <v>59</v>
      </c>
      <c r="H44" s="4">
        <v>46</v>
      </c>
      <c r="I44" s="5">
        <v>126</v>
      </c>
      <c r="J44" s="2">
        <f t="shared" si="0"/>
        <v>231</v>
      </c>
      <c r="K44" s="2"/>
      <c r="L44" s="2"/>
      <c r="M44" s="12"/>
      <c r="N44" s="2"/>
      <c r="O44" s="2"/>
      <c r="P44" s="10" t="s">
        <v>1134</v>
      </c>
    </row>
    <row r="45" ht="17" spans="1:16">
      <c r="A45" s="1" t="s">
        <v>1135</v>
      </c>
      <c r="B45" s="398"/>
      <c r="C45" s="2">
        <v>54</v>
      </c>
      <c r="D45" s="2">
        <v>89</v>
      </c>
      <c r="E45" s="2">
        <v>12</v>
      </c>
      <c r="F45" s="2">
        <v>1</v>
      </c>
      <c r="G45" s="3">
        <v>129</v>
      </c>
      <c r="H45" s="4">
        <v>60</v>
      </c>
      <c r="I45" s="5">
        <v>133</v>
      </c>
      <c r="J45" s="2">
        <f t="shared" si="0"/>
        <v>322</v>
      </c>
      <c r="K45" s="2"/>
      <c r="L45" s="17"/>
      <c r="M45" s="2"/>
      <c r="N45" s="2"/>
      <c r="O45" s="2"/>
      <c r="P45" s="10"/>
    </row>
    <row r="46" ht="17" spans="1:16">
      <c r="A46" s="1" t="s">
        <v>1136</v>
      </c>
      <c r="B46" s="399"/>
      <c r="C46" s="2">
        <v>44</v>
      </c>
      <c r="D46" s="2">
        <v>85</v>
      </c>
      <c r="E46" s="2">
        <v>24</v>
      </c>
      <c r="F46" s="2">
        <v>10</v>
      </c>
      <c r="G46" s="3">
        <v>137</v>
      </c>
      <c r="H46" s="4">
        <v>66</v>
      </c>
      <c r="I46" s="5">
        <v>118</v>
      </c>
      <c r="J46" s="2">
        <f t="shared" si="0"/>
        <v>321</v>
      </c>
      <c r="K46" s="2"/>
      <c r="L46" s="17"/>
      <c r="M46" s="2"/>
      <c r="N46" s="2"/>
      <c r="O46" s="2"/>
      <c r="P46" s="10"/>
    </row>
    <row r="47" ht="51" spans="1:16">
      <c r="A47" s="1" t="s">
        <v>1137</v>
      </c>
      <c r="B47" s="400"/>
      <c r="C47" s="2">
        <v>80</v>
      </c>
      <c r="D47" s="2">
        <v>75</v>
      </c>
      <c r="E47" s="2">
        <v>0</v>
      </c>
      <c r="F47" s="2">
        <v>0</v>
      </c>
      <c r="G47" s="3">
        <v>74</v>
      </c>
      <c r="H47" s="4">
        <v>75</v>
      </c>
      <c r="I47" s="5">
        <v>157</v>
      </c>
      <c r="J47" s="2">
        <f t="shared" si="0"/>
        <v>306</v>
      </c>
      <c r="K47" s="12"/>
      <c r="L47" s="2"/>
      <c r="M47" s="2"/>
      <c r="N47" s="2"/>
      <c r="O47" s="2"/>
      <c r="P47" s="10" t="s">
        <v>1138</v>
      </c>
    </row>
    <row r="48" ht="17" spans="1:16">
      <c r="A48" s="1" t="s">
        <v>1139</v>
      </c>
      <c r="B48" s="401"/>
      <c r="C48" s="2">
        <v>80</v>
      </c>
      <c r="D48" s="2">
        <v>73</v>
      </c>
      <c r="E48" s="2">
        <v>21</v>
      </c>
      <c r="F48" s="2">
        <v>6</v>
      </c>
      <c r="G48" s="3">
        <v>82</v>
      </c>
      <c r="H48" s="4">
        <v>82</v>
      </c>
      <c r="I48" s="5">
        <v>136</v>
      </c>
      <c r="J48" s="2">
        <f t="shared" si="0"/>
        <v>300</v>
      </c>
      <c r="K48" s="2"/>
      <c r="L48" s="17"/>
      <c r="M48" s="2"/>
      <c r="N48" s="2"/>
      <c r="O48" s="2"/>
      <c r="P48" s="10"/>
    </row>
    <row r="49" ht="34" spans="1:16">
      <c r="A49" s="1" t="s">
        <v>1140</v>
      </c>
      <c r="B49" s="402"/>
      <c r="C49" s="2">
        <v>55</v>
      </c>
      <c r="D49" s="2">
        <v>80</v>
      </c>
      <c r="E49" s="2">
        <v>45</v>
      </c>
      <c r="F49" s="2">
        <v>10</v>
      </c>
      <c r="G49" s="3">
        <v>129</v>
      </c>
      <c r="H49" s="4">
        <v>70</v>
      </c>
      <c r="I49" s="5">
        <v>98</v>
      </c>
      <c r="J49" s="2">
        <f t="shared" si="0"/>
        <v>297</v>
      </c>
      <c r="K49" s="12"/>
      <c r="L49" s="2"/>
      <c r="M49" s="2"/>
      <c r="N49" s="2"/>
      <c r="O49" s="2"/>
      <c r="P49" s="10" t="s">
        <v>1141</v>
      </c>
    </row>
    <row r="50" ht="17" spans="1:16">
      <c r="A50" s="1" t="s">
        <v>1142</v>
      </c>
      <c r="B50" s="403"/>
      <c r="C50" s="2">
        <v>37</v>
      </c>
      <c r="D50" s="2">
        <v>81</v>
      </c>
      <c r="E50" s="2">
        <v>50</v>
      </c>
      <c r="F50" s="2">
        <v>20</v>
      </c>
      <c r="G50" s="3">
        <v>140</v>
      </c>
      <c r="H50" s="4">
        <v>67</v>
      </c>
      <c r="I50" s="5">
        <v>86</v>
      </c>
      <c r="J50" s="2">
        <f t="shared" si="0"/>
        <v>293</v>
      </c>
      <c r="K50" s="2"/>
      <c r="L50" s="2"/>
      <c r="M50" s="12"/>
      <c r="N50" s="2"/>
      <c r="O50" s="2"/>
      <c r="P50" s="10" t="s">
        <v>1143</v>
      </c>
    </row>
    <row r="51" ht="135" spans="1:16">
      <c r="A51" s="1" t="s">
        <v>1144</v>
      </c>
      <c r="B51" s="404"/>
      <c r="C51" s="2">
        <v>43</v>
      </c>
      <c r="D51" s="2">
        <v>97</v>
      </c>
      <c r="E51" s="2">
        <v>19</v>
      </c>
      <c r="F51" s="2">
        <v>8</v>
      </c>
      <c r="G51" s="3">
        <v>139</v>
      </c>
      <c r="H51" s="4">
        <v>38</v>
      </c>
      <c r="I51" s="5">
        <v>113</v>
      </c>
      <c r="J51" s="2">
        <f t="shared" si="0"/>
        <v>290</v>
      </c>
      <c r="K51" s="2"/>
      <c r="L51" s="17"/>
      <c r="M51" s="12" t="s">
        <v>1145</v>
      </c>
      <c r="N51" s="14"/>
      <c r="O51" s="28">
        <v>189102158</v>
      </c>
      <c r="P51" s="10" t="s">
        <v>1146</v>
      </c>
    </row>
    <row r="52" ht="17" spans="1:16">
      <c r="A52" s="1" t="s">
        <v>1147</v>
      </c>
      <c r="B52" s="405"/>
      <c r="C52" s="2">
        <v>27</v>
      </c>
      <c r="D52" s="2">
        <v>97</v>
      </c>
      <c r="E52" s="2">
        <v>27</v>
      </c>
      <c r="F52" s="2">
        <v>14</v>
      </c>
      <c r="G52" s="3">
        <v>155</v>
      </c>
      <c r="H52" s="4">
        <v>30</v>
      </c>
      <c r="I52" s="5">
        <v>100</v>
      </c>
      <c r="J52" s="2">
        <f t="shared" si="0"/>
        <v>285</v>
      </c>
      <c r="K52" s="2"/>
      <c r="L52" s="17"/>
      <c r="M52" s="2"/>
      <c r="N52" s="2"/>
      <c r="O52" s="2"/>
      <c r="P52" s="10"/>
    </row>
    <row r="53" ht="34" spans="1:16">
      <c r="A53" s="1" t="s">
        <v>1148</v>
      </c>
      <c r="B53" s="406"/>
      <c r="C53" s="2">
        <v>70</v>
      </c>
      <c r="D53" s="2">
        <v>85</v>
      </c>
      <c r="E53" s="2">
        <v>30</v>
      </c>
      <c r="F53" s="2">
        <v>5</v>
      </c>
      <c r="G53" s="3">
        <v>102</v>
      </c>
      <c r="H53" s="4">
        <v>61</v>
      </c>
      <c r="I53" s="5">
        <v>116</v>
      </c>
      <c r="J53" s="2">
        <f t="shared" si="0"/>
        <v>279</v>
      </c>
      <c r="K53" s="12"/>
      <c r="L53" s="2"/>
      <c r="M53" s="2"/>
      <c r="N53" s="2"/>
      <c r="O53" s="2"/>
      <c r="P53" s="10" t="s">
        <v>1149</v>
      </c>
    </row>
    <row r="54" ht="17" spans="1:16">
      <c r="A54" s="1" t="s">
        <v>1150</v>
      </c>
      <c r="B54" s="407"/>
      <c r="C54" s="2">
        <v>55</v>
      </c>
      <c r="D54" s="2">
        <v>100</v>
      </c>
      <c r="E54" s="2">
        <v>20</v>
      </c>
      <c r="F54" s="2">
        <v>0</v>
      </c>
      <c r="G54" s="3">
        <v>138</v>
      </c>
      <c r="H54" s="4">
        <v>24</v>
      </c>
      <c r="I54" s="5">
        <v>116</v>
      </c>
      <c r="J54" s="2">
        <f t="shared" si="0"/>
        <v>278</v>
      </c>
      <c r="K54" s="12" t="s">
        <v>60</v>
      </c>
      <c r="L54" s="2"/>
      <c r="M54" s="2"/>
      <c r="N54" s="2"/>
      <c r="O54" s="2"/>
      <c r="P54" s="10" t="s">
        <v>1151</v>
      </c>
    </row>
    <row r="55" ht="17" spans="1:16">
      <c r="A55" s="1" t="s">
        <v>1152</v>
      </c>
      <c r="B55" s="408"/>
      <c r="C55" s="2">
        <v>52</v>
      </c>
      <c r="D55" s="2">
        <v>100</v>
      </c>
      <c r="E55" s="2">
        <v>17</v>
      </c>
      <c r="F55" s="2">
        <v>7</v>
      </c>
      <c r="G55" s="3">
        <v>126</v>
      </c>
      <c r="H55" s="4">
        <v>22</v>
      </c>
      <c r="I55" s="5">
        <v>113</v>
      </c>
      <c r="J55" s="2">
        <f t="shared" si="0"/>
        <v>261</v>
      </c>
      <c r="K55" s="12"/>
      <c r="L55" s="17"/>
      <c r="M55" s="2"/>
      <c r="N55" s="2"/>
      <c r="O55" s="2"/>
      <c r="P55" s="10" t="s">
        <v>1153</v>
      </c>
    </row>
    <row r="56" ht="17" spans="1:16">
      <c r="A56" s="1" t="s">
        <v>1154</v>
      </c>
      <c r="B56" s="409"/>
      <c r="C56" s="2">
        <v>45</v>
      </c>
      <c r="D56" s="2">
        <v>99</v>
      </c>
      <c r="E56" s="2">
        <v>24</v>
      </c>
      <c r="F56" s="2">
        <v>16</v>
      </c>
      <c r="G56" s="3">
        <v>126</v>
      </c>
      <c r="H56" s="4">
        <v>32</v>
      </c>
      <c r="I56" s="5">
        <v>101</v>
      </c>
      <c r="J56" s="2">
        <f t="shared" si="0"/>
        <v>259</v>
      </c>
      <c r="K56" s="2"/>
      <c r="L56" s="17"/>
      <c r="M56" s="2"/>
      <c r="N56" s="2"/>
      <c r="O56" s="2"/>
      <c r="P56" s="10"/>
    </row>
    <row r="57" ht="152" spans="1:16">
      <c r="A57" s="1" t="s">
        <v>1155</v>
      </c>
      <c r="B57" s="410"/>
      <c r="C57" s="2">
        <v>70</v>
      </c>
      <c r="D57" s="2">
        <v>90</v>
      </c>
      <c r="E57" s="2">
        <v>35</v>
      </c>
      <c r="F57" s="2">
        <v>10</v>
      </c>
      <c r="G57" s="3">
        <v>100</v>
      </c>
      <c r="H57" s="4">
        <v>50</v>
      </c>
      <c r="I57" s="5">
        <v>104</v>
      </c>
      <c r="J57" s="2">
        <f t="shared" si="0"/>
        <v>254</v>
      </c>
      <c r="K57" s="2"/>
      <c r="L57" s="2"/>
      <c r="M57" s="2"/>
      <c r="N57" s="2"/>
      <c r="O57" s="9"/>
      <c r="P57" s="10" t="s">
        <v>1156</v>
      </c>
    </row>
    <row r="58" ht="51" spans="1:16">
      <c r="A58" s="1" t="s">
        <v>1157</v>
      </c>
      <c r="B58" s="411"/>
      <c r="C58" s="2">
        <v>70</v>
      </c>
      <c r="D58" s="2">
        <v>100</v>
      </c>
      <c r="E58" s="2">
        <v>30</v>
      </c>
      <c r="F58" s="2">
        <v>0</v>
      </c>
      <c r="G58" s="3">
        <v>108</v>
      </c>
      <c r="H58" s="4">
        <v>33</v>
      </c>
      <c r="I58" s="5">
        <v>109</v>
      </c>
      <c r="J58" s="2">
        <f t="shared" si="0"/>
        <v>250</v>
      </c>
      <c r="K58" s="12" t="s">
        <v>60</v>
      </c>
      <c r="L58" s="2"/>
      <c r="M58" s="2"/>
      <c r="N58" s="2"/>
      <c r="O58" s="2"/>
      <c r="P58" s="10" t="s">
        <v>1158</v>
      </c>
    </row>
    <row r="59" ht="17" spans="1:16">
      <c r="A59" s="1" t="s">
        <v>1159</v>
      </c>
      <c r="B59" s="412"/>
      <c r="C59" s="2">
        <v>24</v>
      </c>
      <c r="D59" s="2">
        <v>99</v>
      </c>
      <c r="E59" s="2">
        <v>52</v>
      </c>
      <c r="F59" s="2">
        <v>19</v>
      </c>
      <c r="G59" s="3">
        <v>149</v>
      </c>
      <c r="H59" s="4">
        <v>28</v>
      </c>
      <c r="I59" s="5">
        <v>72</v>
      </c>
      <c r="J59" s="2">
        <f t="shared" ref="J59:J66" si="1">G59+H59+I59</f>
        <v>249</v>
      </c>
      <c r="K59" s="2"/>
      <c r="L59" s="17"/>
      <c r="M59" s="2"/>
      <c r="N59" s="2"/>
      <c r="O59" s="2"/>
      <c r="P59" s="10"/>
    </row>
    <row r="60" ht="17" spans="1:16">
      <c r="A60" s="1" t="s">
        <v>1160</v>
      </c>
      <c r="B60" s="413"/>
      <c r="C60" s="2">
        <v>78</v>
      </c>
      <c r="D60" s="2">
        <v>64</v>
      </c>
      <c r="E60" s="2">
        <v>41</v>
      </c>
      <c r="F60" s="2">
        <v>24</v>
      </c>
      <c r="G60" s="3">
        <v>66</v>
      </c>
      <c r="H60" s="4">
        <v>80</v>
      </c>
      <c r="I60" s="5">
        <v>102</v>
      </c>
      <c r="J60" s="2">
        <f t="shared" si="1"/>
        <v>248</v>
      </c>
      <c r="K60" s="2"/>
      <c r="L60" s="2"/>
      <c r="M60" s="12"/>
      <c r="N60" s="2"/>
      <c r="O60" s="2"/>
      <c r="P60" s="10" t="s">
        <v>1161</v>
      </c>
    </row>
    <row r="61" ht="17" spans="1:16">
      <c r="A61" s="1" t="s">
        <v>1162</v>
      </c>
      <c r="B61" s="414"/>
      <c r="C61" s="2">
        <v>53</v>
      </c>
      <c r="D61" s="2">
        <v>75</v>
      </c>
      <c r="E61" s="2">
        <v>41</v>
      </c>
      <c r="F61" s="2">
        <v>41</v>
      </c>
      <c r="G61" s="3">
        <v>93</v>
      </c>
      <c r="H61" s="4">
        <v>63</v>
      </c>
      <c r="I61" s="5">
        <v>81</v>
      </c>
      <c r="J61" s="2">
        <f t="shared" si="1"/>
        <v>237</v>
      </c>
      <c r="K61" s="2"/>
      <c r="L61" s="17"/>
      <c r="M61" s="2"/>
      <c r="N61" s="2"/>
      <c r="O61" s="2"/>
      <c r="P61" s="10"/>
    </row>
    <row r="62" ht="17" spans="1:16">
      <c r="A62" s="1" t="s">
        <v>1163</v>
      </c>
      <c r="B62" s="415"/>
      <c r="C62" s="2">
        <v>71</v>
      </c>
      <c r="D62" s="2">
        <v>79</v>
      </c>
      <c r="E62" s="2">
        <v>36</v>
      </c>
      <c r="F62" s="2">
        <v>22</v>
      </c>
      <c r="G62" s="3">
        <v>87</v>
      </c>
      <c r="H62" s="4">
        <v>66</v>
      </c>
      <c r="I62" s="5">
        <v>102</v>
      </c>
      <c r="J62" s="2">
        <f t="shared" si="1"/>
        <v>255</v>
      </c>
      <c r="K62" s="2"/>
      <c r="L62" s="2"/>
      <c r="M62" s="12"/>
      <c r="N62" s="2"/>
      <c r="O62" s="2"/>
      <c r="P62" s="10" t="s">
        <v>1164</v>
      </c>
    </row>
    <row r="63" ht="34" spans="1:16">
      <c r="A63" s="1" t="s">
        <v>1165</v>
      </c>
      <c r="B63" s="416"/>
      <c r="C63" s="2">
        <v>100</v>
      </c>
      <c r="D63" s="2">
        <v>93</v>
      </c>
      <c r="E63" s="2">
        <v>21</v>
      </c>
      <c r="F63" s="2">
        <v>5</v>
      </c>
      <c r="G63" s="3">
        <v>46</v>
      </c>
      <c r="H63" s="4">
        <v>49</v>
      </c>
      <c r="I63" s="5">
        <v>124</v>
      </c>
      <c r="J63" s="2">
        <f t="shared" si="1"/>
        <v>219</v>
      </c>
      <c r="K63" s="2"/>
      <c r="L63" s="17"/>
      <c r="M63" s="2"/>
      <c r="N63" s="2"/>
      <c r="O63" s="2"/>
      <c r="P63" s="10"/>
    </row>
    <row r="64" ht="17" spans="1:16">
      <c r="A64" s="1" t="s">
        <v>1166</v>
      </c>
      <c r="B64" s="417"/>
      <c r="C64" s="2">
        <v>49</v>
      </c>
      <c r="D64" s="2">
        <v>100</v>
      </c>
      <c r="E64" s="2">
        <v>29</v>
      </c>
      <c r="F64" s="2">
        <v>32</v>
      </c>
      <c r="G64" s="3">
        <v>104</v>
      </c>
      <c r="H64" s="4">
        <v>23</v>
      </c>
      <c r="I64" s="5">
        <v>82</v>
      </c>
      <c r="J64" s="2">
        <f t="shared" si="1"/>
        <v>209</v>
      </c>
      <c r="K64" s="2"/>
      <c r="L64" s="17"/>
      <c r="M64" s="2"/>
      <c r="N64" s="2"/>
      <c r="O64" s="2"/>
      <c r="P64" s="10"/>
    </row>
    <row r="65" ht="17" spans="1:16">
      <c r="A65" s="1" t="s">
        <v>1167</v>
      </c>
      <c r="B65" s="418"/>
      <c r="C65" s="2">
        <v>60</v>
      </c>
      <c r="D65" s="2">
        <v>90</v>
      </c>
      <c r="E65" s="2">
        <v>55</v>
      </c>
      <c r="F65" s="2">
        <v>35</v>
      </c>
      <c r="G65" s="3">
        <v>96</v>
      </c>
      <c r="H65" s="4">
        <v>38</v>
      </c>
      <c r="I65" s="5">
        <v>65</v>
      </c>
      <c r="J65" s="2">
        <f t="shared" si="1"/>
        <v>199</v>
      </c>
      <c r="K65" s="12"/>
      <c r="L65" s="2"/>
      <c r="M65" s="2"/>
      <c r="N65" s="2"/>
      <c r="O65" s="2"/>
      <c r="P65" s="10" t="s">
        <v>1168</v>
      </c>
    </row>
    <row r="66" ht="17" spans="1:16">
      <c r="A66" s="1" t="s">
        <v>1169</v>
      </c>
      <c r="B66" s="419"/>
      <c r="C66" s="2">
        <v>36</v>
      </c>
      <c r="D66" s="2">
        <v>81</v>
      </c>
      <c r="E66" s="2">
        <v>64</v>
      </c>
      <c r="F66" s="2">
        <v>54</v>
      </c>
      <c r="G66" s="3">
        <v>93</v>
      </c>
      <c r="H66" s="4">
        <v>49</v>
      </c>
      <c r="I66" s="5">
        <v>49</v>
      </c>
      <c r="J66" s="2">
        <f t="shared" si="1"/>
        <v>191</v>
      </c>
      <c r="K66" s="2"/>
      <c r="L66" s="17"/>
      <c r="M66" s="2"/>
      <c r="N66" s="2"/>
      <c r="O66" s="2"/>
      <c r="P66" s="10"/>
    </row>
    <row r="67" ht="34" spans="1:16">
      <c r="A67" s="1" t="s">
        <v>1170</v>
      </c>
      <c r="B67" s="420"/>
      <c r="C67" s="2">
        <v>85</v>
      </c>
      <c r="D67" s="2">
        <v>100</v>
      </c>
      <c r="E67" s="2">
        <v>45</v>
      </c>
      <c r="F67" s="2">
        <v>15</v>
      </c>
      <c r="G67" s="3">
        <v>66</v>
      </c>
      <c r="H67" s="4">
        <v>34</v>
      </c>
      <c r="I67" s="5">
        <v>86</v>
      </c>
      <c r="J67" s="2">
        <f t="shared" si="0"/>
        <v>186</v>
      </c>
      <c r="K67" s="12"/>
      <c r="L67" s="2"/>
      <c r="M67" s="2"/>
      <c r="N67" s="2"/>
      <c r="O67" s="2"/>
      <c r="P67" s="10" t="s">
        <v>1171</v>
      </c>
    </row>
    <row r="68" ht="34" spans="1:16">
      <c r="A68" s="1" t="s">
        <v>1172</v>
      </c>
      <c r="B68" s="421"/>
      <c r="C68" s="2">
        <v>55</v>
      </c>
      <c r="D68" s="2">
        <v>87</v>
      </c>
      <c r="E68" s="2">
        <v>41</v>
      </c>
      <c r="F68" s="2">
        <v>52</v>
      </c>
      <c r="G68" s="3">
        <v>78</v>
      </c>
      <c r="H68" s="4">
        <v>42</v>
      </c>
      <c r="I68" s="5">
        <v>64</v>
      </c>
      <c r="J68" s="2">
        <f t="shared" ref="J68:J97" si="2">G68+H68+I68</f>
        <v>184</v>
      </c>
      <c r="K68" s="2"/>
      <c r="L68" s="17"/>
      <c r="M68" s="2"/>
      <c r="N68" s="2"/>
      <c r="O68" s="2"/>
      <c r="P68" s="10"/>
    </row>
    <row r="69" ht="17" spans="1:16">
      <c r="A69" s="1" t="s">
        <v>1173</v>
      </c>
      <c r="B69" s="422"/>
      <c r="C69" s="2">
        <v>70</v>
      </c>
      <c r="D69" s="2">
        <v>69</v>
      </c>
      <c r="E69" s="2">
        <v>49</v>
      </c>
      <c r="F69" s="2">
        <v>56</v>
      </c>
      <c r="G69" s="3">
        <v>62</v>
      </c>
      <c r="H69" s="4">
        <v>56</v>
      </c>
      <c r="I69" s="5">
        <v>65</v>
      </c>
      <c r="J69" s="2">
        <f t="shared" si="2"/>
        <v>183</v>
      </c>
      <c r="K69" s="2"/>
      <c r="L69" s="17"/>
      <c r="M69" s="2"/>
      <c r="N69" s="2"/>
      <c r="O69" s="2"/>
      <c r="P69" s="10"/>
    </row>
    <row r="70" ht="17" spans="1:16">
      <c r="A70" s="1" t="s">
        <v>1174</v>
      </c>
      <c r="B70" s="423"/>
      <c r="C70" s="2">
        <v>34</v>
      </c>
      <c r="D70" s="2">
        <v>97</v>
      </c>
      <c r="E70" s="2">
        <v>54</v>
      </c>
      <c r="F70" s="2">
        <v>50</v>
      </c>
      <c r="G70" s="3">
        <v>98</v>
      </c>
      <c r="H70" s="4">
        <v>29</v>
      </c>
      <c r="I70" s="5">
        <v>52</v>
      </c>
      <c r="J70" s="2">
        <f t="shared" si="2"/>
        <v>179</v>
      </c>
      <c r="K70" s="2"/>
      <c r="L70" s="17"/>
      <c r="M70" s="2"/>
      <c r="N70" s="2"/>
      <c r="O70" s="2"/>
      <c r="P70" s="10"/>
    </row>
    <row r="71" ht="34" spans="1:16">
      <c r="A71" s="1" t="s">
        <v>1175</v>
      </c>
      <c r="B71" s="424"/>
      <c r="C71" s="2">
        <v>91</v>
      </c>
      <c r="D71" s="2">
        <v>84</v>
      </c>
      <c r="E71" s="2">
        <v>40</v>
      </c>
      <c r="F71" s="2">
        <v>43</v>
      </c>
      <c r="G71" s="3">
        <v>48</v>
      </c>
      <c r="H71" s="4">
        <v>47</v>
      </c>
      <c r="I71" s="5">
        <v>75</v>
      </c>
      <c r="J71" s="2">
        <f t="shared" si="2"/>
        <v>170</v>
      </c>
      <c r="K71" s="2"/>
      <c r="L71" s="17"/>
      <c r="M71" s="2"/>
      <c r="N71" s="2"/>
      <c r="O71" s="2"/>
      <c r="P71" s="10"/>
    </row>
    <row r="72" ht="17" spans="1:16">
      <c r="A72" s="1" t="s">
        <v>1176</v>
      </c>
      <c r="B72" s="425"/>
      <c r="C72" s="2">
        <v>66</v>
      </c>
      <c r="D72" s="2">
        <v>100</v>
      </c>
      <c r="E72" s="2">
        <v>33</v>
      </c>
      <c r="F72" s="2">
        <v>36</v>
      </c>
      <c r="G72" s="3">
        <v>86</v>
      </c>
      <c r="H72" s="4">
        <v>0</v>
      </c>
      <c r="I72" s="5">
        <v>79</v>
      </c>
      <c r="J72" s="2">
        <f t="shared" si="2"/>
        <v>165</v>
      </c>
      <c r="K72" s="2"/>
      <c r="L72" s="2"/>
      <c r="M72" s="12"/>
      <c r="N72" s="2"/>
      <c r="O72" s="2"/>
      <c r="P72" s="10" t="s">
        <v>1177</v>
      </c>
    </row>
    <row r="73" ht="17" spans="1:16">
      <c r="A73" s="1" t="s">
        <v>1178</v>
      </c>
      <c r="B73" s="426"/>
      <c r="C73" s="2">
        <v>35</v>
      </c>
      <c r="D73" s="2">
        <v>94</v>
      </c>
      <c r="E73" s="2">
        <v>77</v>
      </c>
      <c r="F73" s="2">
        <v>53</v>
      </c>
      <c r="G73" s="3">
        <v>92</v>
      </c>
      <c r="H73" s="4">
        <v>34</v>
      </c>
      <c r="I73" s="5">
        <v>35</v>
      </c>
      <c r="J73" s="2">
        <f t="shared" si="2"/>
        <v>161</v>
      </c>
      <c r="K73" s="2"/>
      <c r="L73" s="17"/>
      <c r="M73" s="2"/>
      <c r="N73" s="2"/>
      <c r="O73" s="2"/>
      <c r="P73" s="10"/>
    </row>
    <row r="74" ht="17" spans="1:16">
      <c r="A74" s="1" t="s">
        <v>1179</v>
      </c>
      <c r="B74" s="427"/>
      <c r="C74" s="2">
        <v>79</v>
      </c>
      <c r="D74" s="2">
        <v>74</v>
      </c>
      <c r="E74" s="2">
        <v>49</v>
      </c>
      <c r="F74" s="2">
        <v>60</v>
      </c>
      <c r="G74" s="3">
        <v>50</v>
      </c>
      <c r="H74" s="4">
        <v>47</v>
      </c>
      <c r="I74" s="5">
        <v>59</v>
      </c>
      <c r="J74" s="2">
        <f t="shared" si="2"/>
        <v>156</v>
      </c>
      <c r="K74" s="2"/>
      <c r="L74" s="17"/>
      <c r="M74" s="2"/>
      <c r="N74" s="2"/>
      <c r="O74" s="2"/>
      <c r="P74" s="10"/>
    </row>
    <row r="75" ht="17" spans="1:16">
      <c r="A75" s="1" t="s">
        <v>1180</v>
      </c>
      <c r="B75" s="428"/>
      <c r="C75" s="2">
        <v>33</v>
      </c>
      <c r="D75" s="2">
        <v>100</v>
      </c>
      <c r="E75" s="2">
        <v>75</v>
      </c>
      <c r="F75" s="2">
        <v>49</v>
      </c>
      <c r="G75" s="3">
        <v>98</v>
      </c>
      <c r="H75" s="4">
        <v>22</v>
      </c>
      <c r="I75" s="5">
        <v>36</v>
      </c>
      <c r="J75" s="2">
        <f t="shared" si="2"/>
        <v>156</v>
      </c>
      <c r="K75" s="2"/>
      <c r="L75" s="17"/>
      <c r="M75" s="2"/>
      <c r="N75" s="2"/>
      <c r="O75" s="2"/>
      <c r="P75" s="10"/>
    </row>
    <row r="76" ht="17" spans="1:16">
      <c r="A76" s="1" t="s">
        <v>1181</v>
      </c>
      <c r="B76" s="429"/>
      <c r="C76" s="2">
        <v>40</v>
      </c>
      <c r="D76" s="2">
        <v>92</v>
      </c>
      <c r="E76" s="2">
        <v>47</v>
      </c>
      <c r="F76" s="2">
        <v>64</v>
      </c>
      <c r="G76" s="3">
        <v>75</v>
      </c>
      <c r="H76" s="4">
        <v>30</v>
      </c>
      <c r="I76" s="5">
        <v>47</v>
      </c>
      <c r="J76" s="2">
        <f t="shared" si="2"/>
        <v>152</v>
      </c>
      <c r="K76" s="2"/>
      <c r="L76" s="17"/>
      <c r="M76" s="2"/>
      <c r="N76" s="2"/>
      <c r="O76" s="2"/>
      <c r="P76" s="10"/>
    </row>
    <row r="77" ht="17" spans="1:16">
      <c r="A77" s="1" t="s">
        <v>1182</v>
      </c>
      <c r="B77" s="430"/>
      <c r="C77" s="2">
        <v>36</v>
      </c>
      <c r="D77" s="2">
        <v>95</v>
      </c>
      <c r="E77" s="2">
        <v>71</v>
      </c>
      <c r="F77" s="2">
        <v>59</v>
      </c>
      <c r="G77" s="3">
        <v>84</v>
      </c>
      <c r="H77" s="4">
        <v>30</v>
      </c>
      <c r="I77" s="5">
        <v>36</v>
      </c>
      <c r="J77" s="2">
        <f t="shared" si="2"/>
        <v>150</v>
      </c>
      <c r="K77" s="2"/>
      <c r="L77" s="17"/>
      <c r="M77" s="2"/>
      <c r="N77" s="2"/>
      <c r="O77" s="2"/>
      <c r="P77" s="10"/>
    </row>
    <row r="78" ht="17" spans="1:16">
      <c r="A78" s="1" t="s">
        <v>1183</v>
      </c>
      <c r="B78" s="431"/>
      <c r="C78" s="2">
        <v>58</v>
      </c>
      <c r="D78" s="2">
        <v>96</v>
      </c>
      <c r="E78" s="2">
        <v>40</v>
      </c>
      <c r="F78" s="2">
        <v>61</v>
      </c>
      <c r="G78" s="3">
        <v>65</v>
      </c>
      <c r="H78" s="4">
        <v>28</v>
      </c>
      <c r="I78" s="5">
        <v>53</v>
      </c>
      <c r="J78" s="2">
        <f t="shared" si="2"/>
        <v>146</v>
      </c>
      <c r="K78" s="2"/>
      <c r="L78" s="17"/>
      <c r="M78" s="2"/>
      <c r="N78" s="2"/>
      <c r="O78" s="2"/>
      <c r="P78" s="10"/>
    </row>
    <row r="79" ht="236" spans="1:16">
      <c r="A79" s="1" t="s">
        <v>1184</v>
      </c>
      <c r="B79" s="432"/>
      <c r="C79" s="2">
        <v>39</v>
      </c>
      <c r="D79" s="2">
        <v>92</v>
      </c>
      <c r="E79" s="2">
        <v>67</v>
      </c>
      <c r="F79" s="2">
        <v>64</v>
      </c>
      <c r="G79" s="3">
        <v>76</v>
      </c>
      <c r="H79" s="4">
        <v>31</v>
      </c>
      <c r="I79" s="5">
        <v>36</v>
      </c>
      <c r="J79" s="2">
        <f t="shared" si="2"/>
        <v>143</v>
      </c>
      <c r="K79" s="2"/>
      <c r="L79" s="17"/>
      <c r="M79" s="2"/>
      <c r="N79" s="2"/>
      <c r="O79" s="9" t="s">
        <v>1185</v>
      </c>
      <c r="P79" s="10" t="s">
        <v>1186</v>
      </c>
    </row>
    <row r="80" ht="17" spans="1:16">
      <c r="A80" s="1" t="s">
        <v>1187</v>
      </c>
      <c r="B80" s="433"/>
      <c r="C80" s="2">
        <v>35</v>
      </c>
      <c r="D80" s="2">
        <v>100</v>
      </c>
      <c r="E80" s="2">
        <v>85</v>
      </c>
      <c r="F80" s="2">
        <v>54</v>
      </c>
      <c r="G80" s="3">
        <v>90</v>
      </c>
      <c r="H80" s="4">
        <v>25</v>
      </c>
      <c r="I80" s="5">
        <v>27</v>
      </c>
      <c r="J80" s="2">
        <f t="shared" si="2"/>
        <v>142</v>
      </c>
      <c r="K80" s="2"/>
      <c r="L80" s="17"/>
      <c r="M80" s="2"/>
      <c r="N80" s="2"/>
      <c r="O80" s="2"/>
      <c r="P80" s="10"/>
    </row>
    <row r="81" ht="17" spans="1:16">
      <c r="A81" s="1" t="s">
        <v>1188</v>
      </c>
      <c r="B81" s="434"/>
      <c r="C81" s="2">
        <v>32</v>
      </c>
      <c r="D81" s="2">
        <v>100</v>
      </c>
      <c r="E81" s="2">
        <v>84</v>
      </c>
      <c r="F81" s="2">
        <v>49</v>
      </c>
      <c r="G81" s="3">
        <v>99</v>
      </c>
      <c r="H81" s="4">
        <v>7</v>
      </c>
      <c r="I81" s="5">
        <v>28</v>
      </c>
      <c r="J81" s="2">
        <f t="shared" si="2"/>
        <v>134</v>
      </c>
      <c r="K81" s="2"/>
      <c r="L81" s="17"/>
      <c r="M81" s="2"/>
      <c r="N81" s="2"/>
      <c r="O81" s="2"/>
      <c r="P81" s="10"/>
    </row>
    <row r="82" ht="17" spans="1:16">
      <c r="A82" s="1" t="s">
        <v>1189</v>
      </c>
      <c r="B82" s="435"/>
      <c r="C82" s="2">
        <v>41</v>
      </c>
      <c r="D82" s="2">
        <v>97</v>
      </c>
      <c r="E82" s="2">
        <v>49</v>
      </c>
      <c r="F82" s="2">
        <v>68</v>
      </c>
      <c r="G82" s="3">
        <v>70</v>
      </c>
      <c r="H82" s="4">
        <v>22</v>
      </c>
      <c r="I82" s="5">
        <v>41</v>
      </c>
      <c r="J82" s="2">
        <f t="shared" si="2"/>
        <v>133</v>
      </c>
      <c r="K82" s="2"/>
      <c r="L82" s="17"/>
      <c r="M82" s="2"/>
      <c r="N82" s="2"/>
      <c r="O82" s="2"/>
      <c r="P82" s="10"/>
    </row>
    <row r="83" ht="34" spans="1:16">
      <c r="A83" s="1" t="s">
        <v>1190</v>
      </c>
      <c r="B83" s="436"/>
      <c r="C83" s="2">
        <v>35</v>
      </c>
      <c r="D83" s="2">
        <v>100</v>
      </c>
      <c r="E83" s="2">
        <v>80</v>
      </c>
      <c r="F83" s="2">
        <v>54</v>
      </c>
      <c r="G83" s="3">
        <v>90</v>
      </c>
      <c r="H83" s="4">
        <v>18</v>
      </c>
      <c r="I83" s="5">
        <v>22</v>
      </c>
      <c r="J83" s="2">
        <f t="shared" si="2"/>
        <v>130</v>
      </c>
      <c r="K83" s="2"/>
      <c r="L83" s="17"/>
      <c r="M83" s="2"/>
      <c r="N83" s="2"/>
      <c r="O83" s="2"/>
      <c r="P83" s="10"/>
    </row>
    <row r="84" ht="17" spans="1:16">
      <c r="A84" s="1" t="s">
        <v>1191</v>
      </c>
      <c r="B84" s="437"/>
      <c r="C84" s="2">
        <v>53</v>
      </c>
      <c r="D84" s="2">
        <v>81</v>
      </c>
      <c r="E84" s="2">
        <v>50</v>
      </c>
      <c r="F84" s="2">
        <v>74</v>
      </c>
      <c r="G84" s="3">
        <v>56</v>
      </c>
      <c r="H84" s="4">
        <v>33</v>
      </c>
      <c r="I84" s="5">
        <v>41</v>
      </c>
      <c r="J84" s="2">
        <f t="shared" si="2"/>
        <v>130</v>
      </c>
      <c r="K84" s="2"/>
      <c r="L84" s="17"/>
      <c r="M84" s="2"/>
      <c r="N84" s="2"/>
      <c r="O84" s="2"/>
      <c r="P84" s="10"/>
    </row>
    <row r="85" ht="17" spans="1:16">
      <c r="A85" s="1" t="s">
        <v>1192</v>
      </c>
      <c r="B85" s="438"/>
      <c r="C85" s="2">
        <v>98</v>
      </c>
      <c r="D85" s="2">
        <v>93</v>
      </c>
      <c r="E85" s="2">
        <v>48</v>
      </c>
      <c r="F85" s="2">
        <v>73</v>
      </c>
      <c r="G85" s="3">
        <v>31</v>
      </c>
      <c r="H85" s="4">
        <v>32</v>
      </c>
      <c r="I85" s="5">
        <v>64</v>
      </c>
      <c r="J85" s="2">
        <f t="shared" si="2"/>
        <v>127</v>
      </c>
      <c r="K85" s="2"/>
      <c r="L85" s="17"/>
      <c r="M85" s="2"/>
      <c r="N85" s="2"/>
      <c r="O85" s="2"/>
      <c r="P85" s="10"/>
    </row>
    <row r="86" ht="51" spans="1:16">
      <c r="A86" s="1" t="s">
        <v>1193</v>
      </c>
      <c r="B86" s="439"/>
      <c r="C86" s="2">
        <v>70</v>
      </c>
      <c r="D86" s="2">
        <v>100</v>
      </c>
      <c r="E86" s="2">
        <v>60</v>
      </c>
      <c r="F86" s="2">
        <v>50</v>
      </c>
      <c r="G86" s="3">
        <v>66</v>
      </c>
      <c r="H86" s="4">
        <v>11</v>
      </c>
      <c r="I86" s="5">
        <v>47</v>
      </c>
      <c r="J86" s="2">
        <f t="shared" si="2"/>
        <v>124</v>
      </c>
      <c r="K86" s="12"/>
      <c r="L86" s="2"/>
      <c r="M86" s="2"/>
      <c r="N86" s="2"/>
      <c r="O86" s="2"/>
      <c r="P86" s="10" t="s">
        <v>1194</v>
      </c>
    </row>
    <row r="87" ht="17" spans="1:16">
      <c r="A87" s="1" t="s">
        <v>1195</v>
      </c>
      <c r="B87" s="440"/>
      <c r="C87" s="2">
        <v>39</v>
      </c>
      <c r="D87" s="2">
        <v>100</v>
      </c>
      <c r="E87" s="2">
        <v>79</v>
      </c>
      <c r="F87" s="2">
        <v>63</v>
      </c>
      <c r="G87" s="3">
        <v>77</v>
      </c>
      <c r="H87" s="4">
        <v>16</v>
      </c>
      <c r="I87" s="5">
        <v>24</v>
      </c>
      <c r="J87" s="2">
        <f t="shared" si="2"/>
        <v>117</v>
      </c>
      <c r="K87" s="2"/>
      <c r="L87" s="17"/>
      <c r="M87" s="12" t="s">
        <v>1196</v>
      </c>
      <c r="N87" s="2"/>
      <c r="O87" s="2"/>
      <c r="P87" s="10" t="s">
        <v>1197</v>
      </c>
    </row>
    <row r="88" ht="34" spans="1:16">
      <c r="A88" s="1" t="s">
        <v>1198</v>
      </c>
      <c r="B88" s="441"/>
      <c r="C88" s="2">
        <v>90</v>
      </c>
      <c r="D88" s="2">
        <v>84</v>
      </c>
      <c r="E88" s="2">
        <v>50</v>
      </c>
      <c r="F88" s="2">
        <v>69</v>
      </c>
      <c r="G88" s="3">
        <v>34</v>
      </c>
      <c r="H88" s="4">
        <v>32</v>
      </c>
      <c r="I88" s="5">
        <v>46</v>
      </c>
      <c r="J88" s="2">
        <f t="shared" si="2"/>
        <v>112</v>
      </c>
      <c r="K88" s="2"/>
      <c r="L88" s="17"/>
      <c r="M88" s="2"/>
      <c r="N88" s="2"/>
      <c r="O88" s="2"/>
      <c r="P88" s="10"/>
    </row>
    <row r="89" ht="17" spans="1:16">
      <c r="A89" s="1" t="s">
        <v>1199</v>
      </c>
      <c r="B89" s="442"/>
      <c r="C89" s="2">
        <v>38</v>
      </c>
      <c r="D89" s="2">
        <v>100</v>
      </c>
      <c r="E89" s="2">
        <v>81</v>
      </c>
      <c r="F89" s="2">
        <v>61</v>
      </c>
      <c r="G89" s="3">
        <v>80</v>
      </c>
      <c r="H89" s="4">
        <v>10</v>
      </c>
      <c r="I89" s="5">
        <v>22</v>
      </c>
      <c r="J89" s="2">
        <f t="shared" si="2"/>
        <v>112</v>
      </c>
      <c r="K89" s="2"/>
      <c r="L89" s="17"/>
      <c r="M89" s="2"/>
      <c r="N89" s="2"/>
      <c r="O89" s="2"/>
      <c r="P89" s="10"/>
    </row>
    <row r="90" ht="17" spans="1:16">
      <c r="A90" s="1" t="s">
        <v>1200</v>
      </c>
      <c r="B90" s="443"/>
      <c r="C90" s="2">
        <v>50</v>
      </c>
      <c r="D90" s="2">
        <v>91</v>
      </c>
      <c r="E90" s="2">
        <v>54</v>
      </c>
      <c r="F90" s="2">
        <v>79</v>
      </c>
      <c r="G90" s="3">
        <v>51</v>
      </c>
      <c r="H90" s="4">
        <v>20</v>
      </c>
      <c r="I90" s="5">
        <v>30</v>
      </c>
      <c r="J90" s="2">
        <f t="shared" si="2"/>
        <v>101</v>
      </c>
      <c r="K90" s="2"/>
      <c r="L90" s="17"/>
      <c r="M90" s="2"/>
      <c r="N90" s="2"/>
      <c r="O90" s="2"/>
      <c r="P90" s="10"/>
    </row>
    <row r="91" ht="17" spans="1:16">
      <c r="A91" s="1" t="s">
        <v>1201</v>
      </c>
      <c r="B91" s="444"/>
      <c r="C91" s="2">
        <v>52</v>
      </c>
      <c r="D91" s="2">
        <v>88</v>
      </c>
      <c r="E91" s="2">
        <v>58</v>
      </c>
      <c r="F91" s="2">
        <v>81</v>
      </c>
      <c r="G91" s="3">
        <v>48</v>
      </c>
      <c r="H91" s="4">
        <v>22</v>
      </c>
      <c r="I91" s="5">
        <v>28</v>
      </c>
      <c r="J91" s="2">
        <f t="shared" si="2"/>
        <v>98</v>
      </c>
      <c r="K91" s="2"/>
      <c r="L91" s="17"/>
      <c r="M91" s="2"/>
      <c r="N91" s="2"/>
      <c r="O91" s="2"/>
      <c r="P91" s="10"/>
    </row>
    <row r="92" ht="17" spans="1:16">
      <c r="A92" s="1" t="s">
        <v>1202</v>
      </c>
      <c r="B92" s="445"/>
      <c r="C92" s="2">
        <v>53</v>
      </c>
      <c r="D92" s="2">
        <v>92</v>
      </c>
      <c r="E92" s="2">
        <v>55</v>
      </c>
      <c r="F92" s="2">
        <v>81</v>
      </c>
      <c r="G92" s="3">
        <v>49</v>
      </c>
      <c r="H92" s="4">
        <v>15</v>
      </c>
      <c r="I92" s="5">
        <v>27</v>
      </c>
      <c r="J92" s="2">
        <f t="shared" si="2"/>
        <v>91</v>
      </c>
      <c r="K92" s="2"/>
      <c r="L92" s="17"/>
      <c r="M92" s="2"/>
      <c r="N92" s="2"/>
      <c r="O92" s="2"/>
      <c r="P92" s="10"/>
    </row>
    <row r="93" ht="17" spans="1:16">
      <c r="A93" s="1" t="s">
        <v>1203</v>
      </c>
      <c r="B93" s="446"/>
      <c r="C93" s="2">
        <v>56</v>
      </c>
      <c r="D93" s="2">
        <v>88</v>
      </c>
      <c r="E93" s="2">
        <v>62</v>
      </c>
      <c r="F93" s="2">
        <v>84</v>
      </c>
      <c r="G93" s="3">
        <v>43</v>
      </c>
      <c r="H93" s="4">
        <v>18</v>
      </c>
      <c r="I93" s="5">
        <v>22</v>
      </c>
      <c r="J93" s="2">
        <f t="shared" si="2"/>
        <v>83</v>
      </c>
      <c r="K93" s="2"/>
      <c r="L93" s="17"/>
      <c r="M93" s="2"/>
      <c r="N93" s="2"/>
      <c r="O93" s="2"/>
      <c r="P93" s="10"/>
    </row>
    <row r="94" ht="17" spans="1:16">
      <c r="A94" s="1" t="s">
        <v>1204</v>
      </c>
      <c r="B94" s="447" t="str">
        <f>_xlfn.CONCAT(TEXT(G94,"#"),",",TEXT(H94,"#"),",",TEXT(I94,"#"))</f>
        <v>30,19,29</v>
      </c>
      <c r="C94" s="2">
        <v>81</v>
      </c>
      <c r="D94" s="2">
        <v>87</v>
      </c>
      <c r="E94" s="2">
        <v>54</v>
      </c>
      <c r="F94" s="2">
        <v>84</v>
      </c>
      <c r="G94" s="3">
        <v>30</v>
      </c>
      <c r="H94" s="4">
        <v>19</v>
      </c>
      <c r="I94" s="5">
        <v>29</v>
      </c>
      <c r="J94" s="2">
        <f t="shared" si="2"/>
        <v>78</v>
      </c>
      <c r="K94" s="2"/>
      <c r="L94" s="17"/>
      <c r="M94" s="2"/>
      <c r="N94" s="2"/>
      <c r="O94" s="2"/>
      <c r="P94" s="10"/>
    </row>
    <row r="95" ht="17" spans="1:16">
      <c r="A95" s="1" t="s">
        <v>1205</v>
      </c>
      <c r="B95" s="448"/>
      <c r="C95" s="2">
        <v>58</v>
      </c>
      <c r="D95" s="2">
        <v>90</v>
      </c>
      <c r="E95" s="2">
        <v>63</v>
      </c>
      <c r="F95" s="2">
        <v>83</v>
      </c>
      <c r="G95" s="3">
        <v>45</v>
      </c>
      <c r="H95" s="4">
        <v>12</v>
      </c>
      <c r="I95" s="5">
        <v>19</v>
      </c>
      <c r="J95" s="2">
        <f t="shared" si="2"/>
        <v>76</v>
      </c>
      <c r="K95" s="2"/>
      <c r="L95" s="17"/>
      <c r="M95" s="2"/>
      <c r="N95" s="2"/>
      <c r="O95" s="2"/>
      <c r="P95" s="10"/>
    </row>
    <row r="96" ht="17" spans="1:16">
      <c r="A96" s="1" t="s">
        <v>1206</v>
      </c>
      <c r="B96" s="449"/>
      <c r="C96" s="2">
        <v>100</v>
      </c>
      <c r="D96" s="2">
        <v>94</v>
      </c>
      <c r="E96" s="2">
        <v>52</v>
      </c>
      <c r="F96" s="2">
        <v>77</v>
      </c>
      <c r="G96" s="3">
        <v>19</v>
      </c>
      <c r="H96" s="4">
        <v>17</v>
      </c>
      <c r="I96" s="5">
        <v>36</v>
      </c>
      <c r="J96" s="2">
        <f t="shared" si="2"/>
        <v>72</v>
      </c>
      <c r="K96" s="2"/>
      <c r="L96" s="17"/>
      <c r="M96" s="2"/>
      <c r="N96" s="2"/>
      <c r="O96" s="2"/>
      <c r="P96" s="10"/>
    </row>
    <row r="97" ht="34" spans="1:16">
      <c r="A97" s="1" t="s">
        <v>1207</v>
      </c>
      <c r="B97" s="450" t="str">
        <f>_xlfn.CONCAT(TEXT(G97,"#"),",",TEXT(H97,"#"),",",TEXT(I97,"#"))</f>
        <v>28,13,26</v>
      </c>
      <c r="C97" s="2">
        <v>83</v>
      </c>
      <c r="D97" s="2">
        <v>87</v>
      </c>
      <c r="E97" s="2">
        <v>55</v>
      </c>
      <c r="F97" s="2">
        <v>86</v>
      </c>
      <c r="G97" s="3">
        <v>28</v>
      </c>
      <c r="H97" s="4">
        <v>13</v>
      </c>
      <c r="I97" s="5">
        <v>26</v>
      </c>
      <c r="J97" s="2">
        <f t="shared" si="2"/>
        <v>67</v>
      </c>
      <c r="K97" s="2"/>
      <c r="L97" s="17"/>
      <c r="M97" s="2"/>
      <c r="N97" s="2"/>
      <c r="O97" s="2"/>
      <c r="P97" s="10"/>
    </row>
  </sheetData>
  <mergeCells count="2">
    <mergeCell ref="C1:F1"/>
    <mergeCell ref="G1:I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P337"/>
  <sheetViews>
    <sheetView tabSelected="1" zoomScale="63" zoomScaleNormal="63" workbookViewId="0">
      <pane xSplit="2" ySplit="1" topLeftCell="C2" activePane="bottomRight" state="frozen"/>
      <selection/>
      <selection pane="topRight"/>
      <selection pane="bottomLeft"/>
      <selection pane="bottomRight" activeCell="A3" sqref="A3"/>
    </sheetView>
  </sheetViews>
  <sheetFormatPr defaultColWidth="9" defaultRowHeight="16.8"/>
  <cols>
    <col min="1" max="1" width="10.3303571428571" style="1" customWidth="1"/>
    <col min="2" max="2" width="8.88392857142857" style="2"/>
    <col min="3" max="3" width="3.33035714285714" style="2" customWidth="1"/>
    <col min="4" max="4" width="3.66071428571429" style="2" customWidth="1"/>
    <col min="5" max="6" width="4.10714285714286" style="2" customWidth="1"/>
    <col min="7" max="7" width="4.55357142857143" style="3" customWidth="1"/>
    <col min="8" max="8" width="4.66071428571429" style="4" customWidth="1"/>
    <col min="9" max="9" width="4.66071428571429" style="5" customWidth="1"/>
    <col min="10" max="10" width="4.66071428571429" style="2" customWidth="1"/>
    <col min="11" max="11" width="12.7767857142857" style="2" customWidth="1"/>
    <col min="12" max="12" width="12.8839285714286" style="2" customWidth="1"/>
    <col min="13" max="13" width="16.4375" style="1" customWidth="1"/>
    <col min="14" max="14" width="8.88392857142857" style="2"/>
    <col min="15" max="15" width="13.2232142857143" style="2" customWidth="1"/>
    <col min="16" max="16" width="188.883928571429" style="6" customWidth="1"/>
    <col min="17" max="16384" width="8.88392857142857" style="2"/>
  </cols>
  <sheetData>
    <row r="1" s="1" customFormat="1" ht="84" spans="1:16">
      <c r="A1" s="1" t="s">
        <v>0</v>
      </c>
      <c r="B1" s="1" t="s">
        <v>1</v>
      </c>
      <c r="C1" s="1" t="s">
        <v>2</v>
      </c>
      <c r="G1" s="1" t="s">
        <v>3</v>
      </c>
      <c r="K1" s="1" t="s">
        <v>4</v>
      </c>
      <c r="L1" s="1" t="s">
        <v>5</v>
      </c>
      <c r="M1" s="1" t="s">
        <v>6</v>
      </c>
      <c r="N1" s="1" t="s">
        <v>7</v>
      </c>
      <c r="O1" s="1" t="s">
        <v>8</v>
      </c>
      <c r="P1" s="6" t="s">
        <v>9</v>
      </c>
    </row>
    <row r="2" ht="17" spans="1:16">
      <c r="A2" s="1" t="s">
        <v>0</v>
      </c>
      <c r="C2" s="2" t="s">
        <v>10</v>
      </c>
      <c r="D2" s="2" t="s">
        <v>11</v>
      </c>
      <c r="E2" s="2" t="s">
        <v>161</v>
      </c>
      <c r="F2" s="2" t="s">
        <v>13</v>
      </c>
      <c r="G2" s="3" t="s">
        <v>14</v>
      </c>
      <c r="H2" s="4" t="s">
        <v>15</v>
      </c>
      <c r="I2" s="5" t="s">
        <v>16</v>
      </c>
      <c r="J2" s="2" t="s">
        <v>17</v>
      </c>
      <c r="K2" s="7"/>
    </row>
    <row r="3" ht="387" spans="1:16">
      <c r="A3" s="1" t="s">
        <v>1208</v>
      </c>
      <c r="B3" s="8"/>
      <c r="C3" s="2">
        <v>0</v>
      </c>
      <c r="D3" s="2">
        <v>0</v>
      </c>
      <c r="E3" s="2">
        <v>0</v>
      </c>
      <c r="F3" s="2">
        <v>0</v>
      </c>
      <c r="G3" s="3">
        <v>255</v>
      </c>
      <c r="H3" s="4">
        <v>255</v>
      </c>
      <c r="I3" s="5">
        <v>255</v>
      </c>
      <c r="J3" s="2">
        <f>G3+H3+I3</f>
        <v>765</v>
      </c>
      <c r="M3" s="2"/>
      <c r="O3" s="9"/>
      <c r="P3" s="10" t="s">
        <v>1209</v>
      </c>
    </row>
    <row r="4" ht="17" spans="1:16">
      <c r="A4" s="1" t="s">
        <v>1210</v>
      </c>
      <c r="B4" s="11"/>
      <c r="C4" s="2">
        <v>0</v>
      </c>
      <c r="D4" s="2">
        <v>0</v>
      </c>
      <c r="E4" s="2">
        <v>0</v>
      </c>
      <c r="F4" s="2">
        <v>0</v>
      </c>
      <c r="G4" s="3">
        <v>255</v>
      </c>
      <c r="H4" s="4">
        <v>255</v>
      </c>
      <c r="I4" s="5">
        <v>255</v>
      </c>
      <c r="J4" s="2">
        <f>G4+H4+I4</f>
        <v>765</v>
      </c>
      <c r="M4" s="12"/>
      <c r="P4" s="6" t="s">
        <v>1211</v>
      </c>
    </row>
    <row r="5" ht="17" spans="1:16">
      <c r="A5" s="1" t="s">
        <v>1212</v>
      </c>
      <c r="B5" s="13"/>
      <c r="M5" s="2"/>
      <c r="N5" s="14"/>
      <c r="P5" s="6" t="s">
        <v>1213</v>
      </c>
    </row>
    <row r="6" ht="152" spans="1:16">
      <c r="A6" s="1" t="s">
        <v>1214</v>
      </c>
      <c r="B6" s="15"/>
      <c r="C6" s="2">
        <v>0</v>
      </c>
      <c r="D6" s="2">
        <v>0</v>
      </c>
      <c r="E6" s="2">
        <v>3</v>
      </c>
      <c r="F6" s="2">
        <v>0</v>
      </c>
      <c r="G6" s="3">
        <v>255</v>
      </c>
      <c r="H6" s="4">
        <v>255</v>
      </c>
      <c r="I6" s="5">
        <v>251</v>
      </c>
      <c r="J6" s="2">
        <f t="shared" ref="J6:J62" si="0">G6+H6+I6</f>
        <v>761</v>
      </c>
      <c r="M6" s="2"/>
      <c r="N6" s="14"/>
      <c r="O6" s="9"/>
      <c r="P6" s="6" t="s">
        <v>1215</v>
      </c>
    </row>
    <row r="7" ht="17" spans="1:16">
      <c r="A7" s="1" t="s">
        <v>1216</v>
      </c>
      <c r="B7" s="16"/>
      <c r="C7" s="2">
        <v>69</v>
      </c>
      <c r="D7" s="2">
        <v>64</v>
      </c>
      <c r="E7" s="2">
        <v>52</v>
      </c>
      <c r="F7" s="2">
        <v>59</v>
      </c>
      <c r="G7" s="3">
        <v>255</v>
      </c>
      <c r="H7" s="4">
        <v>254</v>
      </c>
      <c r="I7" s="5">
        <v>250</v>
      </c>
      <c r="J7" s="2">
        <f t="shared" si="0"/>
        <v>759</v>
      </c>
      <c r="L7" s="17"/>
    </row>
    <row r="8" ht="17" spans="1:16">
      <c r="A8" s="1" t="s">
        <v>1217</v>
      </c>
      <c r="B8" s="18"/>
      <c r="C8" s="2">
        <v>0</v>
      </c>
      <c r="D8" s="2">
        <v>1</v>
      </c>
      <c r="E8" s="2">
        <v>3</v>
      </c>
      <c r="F8" s="2">
        <v>0</v>
      </c>
      <c r="G8" s="3">
        <v>255</v>
      </c>
      <c r="H8" s="4">
        <v>254</v>
      </c>
      <c r="I8" s="5">
        <v>249</v>
      </c>
      <c r="J8" s="2">
        <f t="shared" si="0"/>
        <v>758</v>
      </c>
      <c r="L8" s="17"/>
      <c r="M8" s="19">
        <v>240252255</v>
      </c>
      <c r="N8" s="14"/>
      <c r="P8" s="6" t="s">
        <v>1218</v>
      </c>
    </row>
    <row r="9" ht="17" spans="1:16">
      <c r="A9" s="1" t="s">
        <v>1219</v>
      </c>
      <c r="B9" s="13"/>
      <c r="C9" s="2">
        <v>0</v>
      </c>
      <c r="D9" s="2">
        <v>1</v>
      </c>
      <c r="E9" s="2">
        <v>4</v>
      </c>
      <c r="F9" s="2">
        <v>0</v>
      </c>
      <c r="G9" s="3">
        <v>255</v>
      </c>
      <c r="H9" s="4">
        <v>254</v>
      </c>
      <c r="I9" s="5">
        <v>248</v>
      </c>
      <c r="J9" s="2">
        <f t="shared" si="0"/>
        <v>757</v>
      </c>
      <c r="L9" s="17"/>
      <c r="M9" s="19">
        <v>255251240</v>
      </c>
    </row>
    <row r="10" ht="152" spans="1:16">
      <c r="A10" s="1" t="s">
        <v>1220</v>
      </c>
      <c r="B10" s="20"/>
      <c r="C10" s="2">
        <v>0</v>
      </c>
      <c r="D10" s="2">
        <v>0</v>
      </c>
      <c r="E10" s="2">
        <v>6</v>
      </c>
      <c r="F10" s="2">
        <v>0</v>
      </c>
      <c r="G10" s="3">
        <v>255</v>
      </c>
      <c r="H10" s="4">
        <v>254</v>
      </c>
      <c r="I10" s="5">
        <v>245</v>
      </c>
      <c r="J10" s="2">
        <f t="shared" si="0"/>
        <v>754</v>
      </c>
      <c r="M10" s="2"/>
      <c r="O10" s="9"/>
      <c r="P10" s="10" t="s">
        <v>1221</v>
      </c>
    </row>
    <row r="11" ht="152" spans="1:16">
      <c r="A11" s="1" t="s">
        <v>1222</v>
      </c>
      <c r="B11" s="21"/>
      <c r="C11" s="2">
        <v>0</v>
      </c>
      <c r="D11" s="2">
        <v>0</v>
      </c>
      <c r="E11" s="2">
        <v>6</v>
      </c>
      <c r="F11" s="2">
        <v>2</v>
      </c>
      <c r="G11" s="3">
        <v>253</v>
      </c>
      <c r="H11" s="4">
        <v>252</v>
      </c>
      <c r="I11" s="5">
        <v>243</v>
      </c>
      <c r="J11" s="2">
        <f t="shared" si="0"/>
        <v>748</v>
      </c>
      <c r="M11" s="2"/>
      <c r="N11" s="14"/>
      <c r="O11" s="9"/>
      <c r="P11" s="6" t="s">
        <v>1223</v>
      </c>
    </row>
    <row r="12" ht="219" spans="1:16">
      <c r="A12" s="1" t="s">
        <v>1224</v>
      </c>
      <c r="B12" s="22"/>
      <c r="C12" s="2">
        <v>0</v>
      </c>
      <c r="D12" s="2">
        <v>2</v>
      </c>
      <c r="E12" s="2">
        <v>13</v>
      </c>
      <c r="F12" s="2">
        <v>0</v>
      </c>
      <c r="G12" s="3">
        <v>255</v>
      </c>
      <c r="H12" s="4">
        <v>251</v>
      </c>
      <c r="I12" s="5">
        <v>231</v>
      </c>
      <c r="J12" s="2">
        <f t="shared" si="0"/>
        <v>737</v>
      </c>
      <c r="M12" s="2"/>
      <c r="N12" s="14"/>
      <c r="O12" s="9"/>
      <c r="P12" s="6" t="s">
        <v>1225</v>
      </c>
    </row>
    <row r="13" ht="17" spans="1:16">
      <c r="A13" s="1" t="s">
        <v>1226</v>
      </c>
      <c r="B13" s="23"/>
      <c r="C13" s="2">
        <v>3</v>
      </c>
      <c r="D13" s="2">
        <v>0</v>
      </c>
      <c r="E13" s="2">
        <v>5</v>
      </c>
      <c r="F13" s="2">
        <v>0</v>
      </c>
      <c r="G13" s="3">
        <v>243</v>
      </c>
      <c r="H13" s="4">
        <v>249</v>
      </c>
      <c r="I13" s="5">
        <v>241</v>
      </c>
      <c r="J13" s="2">
        <f t="shared" si="0"/>
        <v>733</v>
      </c>
      <c r="M13" s="12"/>
      <c r="P13" s="6" t="s">
        <v>1227</v>
      </c>
    </row>
    <row r="14" ht="17" spans="1:16">
      <c r="A14" s="1" t="s">
        <v>1228</v>
      </c>
      <c r="B14" s="24"/>
      <c r="C14" s="2">
        <v>5</v>
      </c>
      <c r="D14" s="2">
        <v>5</v>
      </c>
      <c r="E14" s="2">
        <v>5</v>
      </c>
      <c r="F14" s="2">
        <v>0</v>
      </c>
      <c r="G14" s="3">
        <v>245</v>
      </c>
      <c r="H14" s="4">
        <v>243</v>
      </c>
      <c r="I14" s="5">
        <v>242</v>
      </c>
      <c r="J14" s="2">
        <f t="shared" si="0"/>
        <v>730</v>
      </c>
      <c r="K14" s="12"/>
      <c r="P14" s="6" t="s">
        <v>1229</v>
      </c>
    </row>
    <row r="15" ht="17" spans="1:16">
      <c r="A15" s="1" t="s">
        <v>1230</v>
      </c>
      <c r="B15" s="25"/>
      <c r="C15" s="2">
        <v>3</v>
      </c>
      <c r="D15" s="2">
        <v>5</v>
      </c>
      <c r="E15" s="2">
        <v>8</v>
      </c>
      <c r="F15" s="2">
        <v>0</v>
      </c>
      <c r="G15" s="3">
        <v>248</v>
      </c>
      <c r="H15" s="4">
        <v>244</v>
      </c>
      <c r="I15" s="5">
        <v>237</v>
      </c>
      <c r="J15" s="2">
        <f t="shared" si="0"/>
        <v>729</v>
      </c>
      <c r="L15" s="17"/>
    </row>
    <row r="16" ht="17" spans="1:16">
      <c r="A16" s="1" t="s">
        <v>1231</v>
      </c>
      <c r="B16" s="26"/>
      <c r="C16" s="2">
        <v>4</v>
      </c>
      <c r="D16" s="2">
        <v>4</v>
      </c>
      <c r="E16" s="2">
        <v>8</v>
      </c>
      <c r="F16" s="2">
        <v>0</v>
      </c>
      <c r="G16" s="3">
        <v>247</v>
      </c>
      <c r="H16" s="4">
        <v>244</v>
      </c>
      <c r="I16" s="5">
        <v>237</v>
      </c>
      <c r="J16" s="2">
        <f t="shared" si="0"/>
        <v>728</v>
      </c>
      <c r="L16" s="17"/>
      <c r="M16" s="19">
        <v>252239232</v>
      </c>
      <c r="N16" s="14"/>
      <c r="P16" s="6" t="s">
        <v>1232</v>
      </c>
    </row>
    <row r="17" ht="185" spans="1:16">
      <c r="A17" s="1" t="s">
        <v>1233</v>
      </c>
      <c r="B17" s="27"/>
      <c r="C17" s="2">
        <v>4</v>
      </c>
      <c r="D17" s="2">
        <v>3</v>
      </c>
      <c r="E17" s="2">
        <v>2</v>
      </c>
      <c r="F17" s="2">
        <v>0</v>
      </c>
      <c r="G17" s="3">
        <v>240</v>
      </c>
      <c r="H17" s="4">
        <v>240</v>
      </c>
      <c r="I17" s="5">
        <v>244</v>
      </c>
      <c r="J17" s="2">
        <f t="shared" si="0"/>
        <v>724</v>
      </c>
      <c r="M17" s="19"/>
      <c r="N17" s="14"/>
      <c r="O17" s="28">
        <v>255252240</v>
      </c>
      <c r="P17" s="6" t="s">
        <v>1234</v>
      </c>
    </row>
    <row r="18" ht="34" spans="1:16">
      <c r="A18" s="1" t="s">
        <v>1235</v>
      </c>
      <c r="B18" s="29"/>
      <c r="C18" s="2">
        <v>5</v>
      </c>
      <c r="D18" s="2">
        <v>0</v>
      </c>
      <c r="E18" s="2">
        <v>15</v>
      </c>
      <c r="F18" s="2">
        <v>0</v>
      </c>
      <c r="G18" s="3">
        <v>246</v>
      </c>
      <c r="H18" s="4">
        <v>249</v>
      </c>
      <c r="I18" s="5">
        <v>228</v>
      </c>
      <c r="J18" s="2">
        <f t="shared" si="0"/>
        <v>723</v>
      </c>
      <c r="K18" s="12"/>
      <c r="P18" s="6" t="s">
        <v>1236</v>
      </c>
    </row>
    <row r="19" ht="17" spans="1:16">
      <c r="A19" s="1" t="s">
        <v>1237</v>
      </c>
      <c r="B19" s="30"/>
      <c r="C19" s="2">
        <v>7</v>
      </c>
      <c r="D19" s="2">
        <v>2</v>
      </c>
      <c r="E19" s="2">
        <v>1</v>
      </c>
      <c r="F19" s="2">
        <v>0</v>
      </c>
      <c r="G19" s="3">
        <v>233</v>
      </c>
      <c r="H19" s="4">
        <v>241</v>
      </c>
      <c r="I19" s="5">
        <v>246</v>
      </c>
      <c r="J19" s="2">
        <f t="shared" si="0"/>
        <v>720</v>
      </c>
      <c r="M19" s="12"/>
      <c r="N19" s="14"/>
      <c r="P19" s="6" t="s">
        <v>1238</v>
      </c>
    </row>
    <row r="20" ht="34" spans="1:16">
      <c r="A20" s="1" t="s">
        <v>1239</v>
      </c>
      <c r="B20" s="31"/>
      <c r="C20" s="2">
        <v>5</v>
      </c>
      <c r="D20" s="2">
        <v>5</v>
      </c>
      <c r="E20" s="2">
        <v>10</v>
      </c>
      <c r="F20" s="2">
        <v>0</v>
      </c>
      <c r="G20" s="3">
        <v>245</v>
      </c>
      <c r="H20" s="4">
        <v>242</v>
      </c>
      <c r="I20" s="5">
        <v>233</v>
      </c>
      <c r="J20" s="2">
        <f t="shared" si="0"/>
        <v>720</v>
      </c>
      <c r="K20" s="12"/>
      <c r="P20" s="6" t="s">
        <v>1240</v>
      </c>
    </row>
    <row r="21" ht="17" spans="1:16">
      <c r="A21" s="1" t="s">
        <v>1241</v>
      </c>
      <c r="B21" s="32"/>
      <c r="C21" s="2">
        <v>9</v>
      </c>
      <c r="D21" s="2">
        <v>0</v>
      </c>
      <c r="E21" s="2">
        <v>1</v>
      </c>
      <c r="F21" s="2">
        <v>0</v>
      </c>
      <c r="G21" s="3">
        <v>227</v>
      </c>
      <c r="H21" s="4">
        <v>239</v>
      </c>
      <c r="I21" s="5">
        <v>253</v>
      </c>
      <c r="J21" s="2">
        <f t="shared" si="0"/>
        <v>719</v>
      </c>
      <c r="M21" s="12"/>
      <c r="P21" s="6" t="s">
        <v>1242</v>
      </c>
    </row>
    <row r="22" ht="152" spans="1:16">
      <c r="A22" s="1" t="s">
        <v>1243</v>
      </c>
      <c r="B22" s="33"/>
      <c r="C22" s="2">
        <v>7</v>
      </c>
      <c r="D22" s="2">
        <v>5</v>
      </c>
      <c r="E22" s="2">
        <v>7</v>
      </c>
      <c r="F22" s="2">
        <v>0</v>
      </c>
      <c r="G22" s="3">
        <v>241</v>
      </c>
      <c r="H22" s="4">
        <v>240</v>
      </c>
      <c r="I22" s="5">
        <v>237</v>
      </c>
      <c r="J22" s="2">
        <f t="shared" si="0"/>
        <v>718</v>
      </c>
      <c r="L22" s="17"/>
      <c r="M22" s="19">
        <v>233231239</v>
      </c>
      <c r="N22" s="14"/>
      <c r="O22" s="28">
        <v>233230241</v>
      </c>
      <c r="P22" s="6" t="s">
        <v>1244</v>
      </c>
    </row>
    <row r="23" ht="17" spans="1:16">
      <c r="A23" s="1" t="s">
        <v>1245</v>
      </c>
      <c r="B23" s="34"/>
      <c r="C23" s="2">
        <v>0</v>
      </c>
      <c r="D23" s="2">
        <v>0</v>
      </c>
      <c r="E23" s="2">
        <v>0</v>
      </c>
      <c r="F23" s="2">
        <v>10</v>
      </c>
      <c r="G23" s="3">
        <v>239</v>
      </c>
      <c r="H23" s="4">
        <v>239</v>
      </c>
      <c r="I23" s="5">
        <v>239</v>
      </c>
      <c r="J23" s="2">
        <f t="shared" si="0"/>
        <v>717</v>
      </c>
      <c r="K23" s="12"/>
      <c r="P23" s="6" t="s">
        <v>1246</v>
      </c>
    </row>
    <row r="24" ht="17" spans="1:16">
      <c r="A24" s="1" t="s">
        <v>1247</v>
      </c>
      <c r="B24" s="35"/>
      <c r="C24" s="2">
        <v>4</v>
      </c>
      <c r="D24" s="2">
        <v>5</v>
      </c>
      <c r="E24" s="2">
        <v>18</v>
      </c>
      <c r="F24" s="2">
        <v>0</v>
      </c>
      <c r="G24" s="3">
        <v>249</v>
      </c>
      <c r="H24" s="4">
        <v>244</v>
      </c>
      <c r="I24" s="5">
        <v>220</v>
      </c>
      <c r="J24" s="2">
        <f t="shared" si="0"/>
        <v>713</v>
      </c>
      <c r="L24" s="17"/>
      <c r="N24" s="14"/>
      <c r="P24" s="6" t="s">
        <v>1248</v>
      </c>
    </row>
    <row r="25" ht="68" spans="1:16">
      <c r="A25" s="1" t="s">
        <v>1249</v>
      </c>
      <c r="B25" s="36"/>
      <c r="C25" s="2">
        <v>10</v>
      </c>
      <c r="D25" s="2">
        <v>5</v>
      </c>
      <c r="E25" s="2">
        <v>5</v>
      </c>
      <c r="F25" s="2">
        <v>0</v>
      </c>
      <c r="G25" s="3">
        <v>234</v>
      </c>
      <c r="H25" s="4">
        <v>238</v>
      </c>
      <c r="I25" s="5">
        <v>241</v>
      </c>
      <c r="J25" s="2">
        <f t="shared" si="0"/>
        <v>713</v>
      </c>
      <c r="K25" s="12"/>
      <c r="P25" s="6" t="s">
        <v>1250</v>
      </c>
    </row>
    <row r="26" ht="17" spans="1:16">
      <c r="A26" s="1" t="s">
        <v>1251</v>
      </c>
      <c r="B26" s="37"/>
      <c r="C26" s="2">
        <v>2</v>
      </c>
      <c r="D26" s="2">
        <v>6</v>
      </c>
      <c r="E26" s="2">
        <v>18</v>
      </c>
      <c r="F26" s="2">
        <v>0</v>
      </c>
      <c r="G26" s="3">
        <v>249</v>
      </c>
      <c r="H26" s="4">
        <v>241</v>
      </c>
      <c r="I26" s="5">
        <v>219</v>
      </c>
      <c r="J26" s="2">
        <f t="shared" si="0"/>
        <v>709</v>
      </c>
      <c r="L26" s="17"/>
    </row>
    <row r="27" ht="34" spans="1:16">
      <c r="A27" s="1" t="s">
        <v>1252</v>
      </c>
      <c r="B27" s="38"/>
      <c r="C27" s="2">
        <v>10</v>
      </c>
      <c r="D27" s="2">
        <v>5</v>
      </c>
      <c r="E27" s="2">
        <v>10</v>
      </c>
      <c r="F27" s="2">
        <v>0</v>
      </c>
      <c r="G27" s="3">
        <v>235</v>
      </c>
      <c r="H27" s="4">
        <v>238</v>
      </c>
      <c r="I27" s="5">
        <v>232</v>
      </c>
      <c r="J27" s="2">
        <f t="shared" si="0"/>
        <v>705</v>
      </c>
      <c r="K27" s="12"/>
      <c r="P27" s="6" t="s">
        <v>1253</v>
      </c>
    </row>
    <row r="28" ht="17" spans="1:16">
      <c r="A28" s="1" t="s">
        <v>1254</v>
      </c>
      <c r="B28" s="39"/>
      <c r="C28" s="2">
        <v>4</v>
      </c>
      <c r="D28" s="2">
        <v>5</v>
      </c>
      <c r="E28" s="2">
        <v>12</v>
      </c>
      <c r="F28" s="2">
        <v>0</v>
      </c>
      <c r="G28" s="3">
        <v>242</v>
      </c>
      <c r="H28" s="4">
        <v>236</v>
      </c>
      <c r="I28" s="5">
        <v>222</v>
      </c>
      <c r="J28" s="2">
        <f t="shared" si="0"/>
        <v>700</v>
      </c>
      <c r="M28" s="12"/>
      <c r="P28" s="6" t="s">
        <v>1255</v>
      </c>
    </row>
    <row r="29" ht="17" spans="1:16">
      <c r="A29" s="1" t="s">
        <v>1256</v>
      </c>
      <c r="B29" s="40"/>
      <c r="C29" s="2">
        <v>10</v>
      </c>
      <c r="D29" s="2">
        <v>5</v>
      </c>
      <c r="E29" s="2">
        <v>15</v>
      </c>
      <c r="F29" s="2">
        <v>0</v>
      </c>
      <c r="G29" s="3">
        <v>235</v>
      </c>
      <c r="H29" s="4">
        <v>237</v>
      </c>
      <c r="I29" s="5">
        <v>223</v>
      </c>
      <c r="J29" s="2">
        <f t="shared" si="0"/>
        <v>695</v>
      </c>
      <c r="K29" s="12"/>
      <c r="P29" s="6" t="s">
        <v>1257</v>
      </c>
    </row>
    <row r="30" ht="17" spans="1:16">
      <c r="A30" s="1" t="s">
        <v>1258</v>
      </c>
      <c r="B30" s="41"/>
      <c r="C30" s="2">
        <v>10</v>
      </c>
      <c r="D30" s="2">
        <v>10</v>
      </c>
      <c r="E30" s="2">
        <v>10</v>
      </c>
      <c r="F30" s="2">
        <v>0</v>
      </c>
      <c r="G30" s="3">
        <v>234</v>
      </c>
      <c r="H30" s="4">
        <v>229</v>
      </c>
      <c r="I30" s="5">
        <v>227</v>
      </c>
      <c r="J30" s="2">
        <f t="shared" si="0"/>
        <v>690</v>
      </c>
      <c r="K30" s="12"/>
      <c r="P30" s="6" t="s">
        <v>1259</v>
      </c>
    </row>
    <row r="31" ht="17" spans="1:16">
      <c r="A31" s="1" t="s">
        <v>1260</v>
      </c>
      <c r="B31" s="42"/>
      <c r="C31" s="2">
        <v>13</v>
      </c>
      <c r="D31" s="2">
        <v>10</v>
      </c>
      <c r="E31" s="2">
        <v>9</v>
      </c>
      <c r="F31" s="2">
        <v>0</v>
      </c>
      <c r="G31" s="3">
        <v>226</v>
      </c>
      <c r="H31" s="4">
        <v>225</v>
      </c>
      <c r="I31" s="5">
        <v>228</v>
      </c>
      <c r="J31" s="2">
        <f t="shared" si="0"/>
        <v>679</v>
      </c>
      <c r="L31" s="17"/>
    </row>
    <row r="32" ht="17" spans="1:16">
      <c r="A32" s="1" t="s">
        <v>1261</v>
      </c>
      <c r="B32" s="43"/>
      <c r="C32" s="2">
        <v>15</v>
      </c>
      <c r="D32" s="2">
        <v>7</v>
      </c>
      <c r="E32" s="2">
        <v>0</v>
      </c>
      <c r="F32" s="2">
        <v>0</v>
      </c>
      <c r="G32" s="3">
        <v>211</v>
      </c>
      <c r="H32" s="4">
        <v>224</v>
      </c>
      <c r="I32" s="5">
        <v>243</v>
      </c>
      <c r="J32" s="2">
        <f t="shared" si="0"/>
        <v>678</v>
      </c>
      <c r="M32" s="12"/>
    </row>
    <row r="33" ht="17" spans="1:16">
      <c r="A33" s="1" t="s">
        <v>1262</v>
      </c>
      <c r="B33" s="44"/>
      <c r="C33" s="2">
        <v>21</v>
      </c>
      <c r="D33" s="2">
        <v>6</v>
      </c>
      <c r="E33" s="2">
        <v>10</v>
      </c>
      <c r="F33" s="2">
        <v>0</v>
      </c>
      <c r="G33" s="3">
        <v>216</v>
      </c>
      <c r="H33" s="4">
        <v>227</v>
      </c>
      <c r="I33" s="5">
        <v>231</v>
      </c>
      <c r="J33" s="2">
        <f t="shared" si="0"/>
        <v>674</v>
      </c>
      <c r="L33" s="17"/>
      <c r="N33" s="14"/>
      <c r="P33" s="6" t="s">
        <v>1263</v>
      </c>
    </row>
    <row r="34" ht="34" spans="1:16">
      <c r="A34" s="1" t="s">
        <v>38</v>
      </c>
      <c r="B34" s="45"/>
      <c r="C34" s="2">
        <v>10</v>
      </c>
      <c r="D34" s="2">
        <v>10</v>
      </c>
      <c r="E34" s="2">
        <v>20</v>
      </c>
      <c r="F34" s="2">
        <v>0</v>
      </c>
      <c r="G34" s="3">
        <v>234</v>
      </c>
      <c r="H34" s="4">
        <v>228</v>
      </c>
      <c r="I34" s="5">
        <v>209</v>
      </c>
      <c r="J34" s="2">
        <f t="shared" si="0"/>
        <v>671</v>
      </c>
      <c r="K34" s="12"/>
      <c r="P34" s="6" t="s">
        <v>1264</v>
      </c>
    </row>
    <row r="35" ht="17" spans="1:16">
      <c r="A35" s="1" t="s">
        <v>1265</v>
      </c>
      <c r="B35" s="46"/>
      <c r="C35" s="2">
        <v>12</v>
      </c>
      <c r="D35" s="2">
        <v>12</v>
      </c>
      <c r="E35" s="2">
        <v>16</v>
      </c>
      <c r="F35" s="2">
        <v>0</v>
      </c>
      <c r="G35" s="3">
        <v>228</v>
      </c>
      <c r="H35" s="4">
        <v>223</v>
      </c>
      <c r="I35" s="5">
        <v>215</v>
      </c>
      <c r="J35" s="2">
        <f t="shared" si="0"/>
        <v>666</v>
      </c>
      <c r="L35" s="17"/>
      <c r="N35" s="14"/>
      <c r="P35" s="6" t="s">
        <v>1266</v>
      </c>
    </row>
    <row r="36" ht="68" spans="1:16">
      <c r="A36" s="1" t="s">
        <v>1267</v>
      </c>
      <c r="B36" s="47"/>
      <c r="C36" s="2">
        <v>15</v>
      </c>
      <c r="D36" s="2">
        <v>10</v>
      </c>
      <c r="E36" s="2">
        <v>15</v>
      </c>
      <c r="F36" s="2">
        <v>0</v>
      </c>
      <c r="G36" s="3">
        <v>223</v>
      </c>
      <c r="H36" s="4">
        <v>224</v>
      </c>
      <c r="I36" s="5">
        <v>217</v>
      </c>
      <c r="J36" s="2">
        <f t="shared" si="0"/>
        <v>664</v>
      </c>
      <c r="K36" s="12"/>
      <c r="P36" s="6" t="s">
        <v>1268</v>
      </c>
    </row>
    <row r="37" ht="34" spans="1:16">
      <c r="A37" s="1" t="s">
        <v>1269</v>
      </c>
      <c r="B37" s="48"/>
      <c r="C37" s="2">
        <v>10</v>
      </c>
      <c r="D37" s="2">
        <v>10</v>
      </c>
      <c r="E37" s="2">
        <v>25</v>
      </c>
      <c r="F37" s="2">
        <v>0</v>
      </c>
      <c r="G37" s="3">
        <v>235</v>
      </c>
      <c r="H37" s="4">
        <v>227</v>
      </c>
      <c r="I37" s="5">
        <v>199</v>
      </c>
      <c r="J37" s="2">
        <f t="shared" si="0"/>
        <v>661</v>
      </c>
      <c r="K37" s="12"/>
      <c r="P37" s="6" t="s">
        <v>1270</v>
      </c>
    </row>
    <row r="38" ht="17" spans="1:16">
      <c r="A38" s="1" t="s">
        <v>1271</v>
      </c>
      <c r="B38" s="49"/>
      <c r="C38" s="2">
        <v>20</v>
      </c>
      <c r="D38" s="2">
        <v>10</v>
      </c>
      <c r="E38" s="2">
        <v>10</v>
      </c>
      <c r="F38" s="2">
        <v>0</v>
      </c>
      <c r="G38" s="3">
        <v>212</v>
      </c>
      <c r="H38" s="4">
        <v>221</v>
      </c>
      <c r="I38" s="5">
        <v>225</v>
      </c>
      <c r="J38" s="2">
        <f t="shared" si="0"/>
        <v>658</v>
      </c>
      <c r="K38" s="12"/>
      <c r="P38" s="6" t="s">
        <v>1272</v>
      </c>
    </row>
    <row r="39" ht="34" spans="1:16">
      <c r="A39" s="1" t="s">
        <v>1273</v>
      </c>
      <c r="B39" s="50"/>
      <c r="C39" s="2">
        <v>15</v>
      </c>
      <c r="D39" s="2">
        <v>10</v>
      </c>
      <c r="E39" s="2">
        <v>20</v>
      </c>
      <c r="F39" s="2">
        <v>0</v>
      </c>
      <c r="G39" s="3">
        <v>224</v>
      </c>
      <c r="H39" s="4">
        <v>224</v>
      </c>
      <c r="I39" s="5">
        <v>208</v>
      </c>
      <c r="J39" s="2">
        <f t="shared" si="0"/>
        <v>656</v>
      </c>
      <c r="K39" s="12"/>
      <c r="P39" s="6" t="s">
        <v>1274</v>
      </c>
    </row>
    <row r="40" ht="17" spans="1:16">
      <c r="A40" s="1" t="s">
        <v>1275</v>
      </c>
      <c r="B40" s="51"/>
      <c r="C40" s="2">
        <v>8</v>
      </c>
      <c r="D40" s="2">
        <v>22</v>
      </c>
      <c r="E40" s="2">
        <v>12</v>
      </c>
      <c r="F40" s="2">
        <v>0</v>
      </c>
      <c r="G40" s="3">
        <v>230</v>
      </c>
      <c r="H40" s="4">
        <v>210</v>
      </c>
      <c r="I40" s="5">
        <v>213</v>
      </c>
      <c r="J40" s="2">
        <f t="shared" si="0"/>
        <v>653</v>
      </c>
      <c r="L40" s="17"/>
    </row>
    <row r="41" ht="34" spans="1:16">
      <c r="A41" s="1" t="s">
        <v>1276</v>
      </c>
      <c r="B41" s="52"/>
      <c r="C41" s="2">
        <v>5</v>
      </c>
      <c r="D41" s="2">
        <v>15</v>
      </c>
      <c r="E41" s="2">
        <v>20</v>
      </c>
      <c r="F41" s="2">
        <v>5</v>
      </c>
      <c r="G41" s="3">
        <v>236</v>
      </c>
      <c r="H41" s="4">
        <v>217</v>
      </c>
      <c r="I41" s="5">
        <v>199</v>
      </c>
      <c r="J41" s="2">
        <f t="shared" si="0"/>
        <v>652</v>
      </c>
      <c r="K41" s="12"/>
      <c r="P41" s="6" t="s">
        <v>1277</v>
      </c>
    </row>
    <row r="42" ht="17" spans="1:16">
      <c r="A42" s="1" t="s">
        <v>1278</v>
      </c>
      <c r="B42" s="53"/>
      <c r="C42" s="2">
        <v>17</v>
      </c>
      <c r="D42" s="2">
        <v>9</v>
      </c>
      <c r="E42" s="2">
        <v>7</v>
      </c>
      <c r="F42" s="2">
        <v>0</v>
      </c>
      <c r="G42" s="3">
        <v>209</v>
      </c>
      <c r="H42" s="4">
        <v>217</v>
      </c>
      <c r="I42" s="5">
        <v>224</v>
      </c>
      <c r="J42" s="2">
        <f t="shared" si="0"/>
        <v>650</v>
      </c>
      <c r="M42" s="12"/>
    </row>
    <row r="43" ht="17" spans="1:16">
      <c r="A43" s="1" t="s">
        <v>1279</v>
      </c>
      <c r="B43" s="54"/>
      <c r="C43" s="2">
        <v>15</v>
      </c>
      <c r="D43" s="2">
        <v>10</v>
      </c>
      <c r="E43" s="2">
        <v>25</v>
      </c>
      <c r="F43" s="2">
        <v>0</v>
      </c>
      <c r="G43" s="3">
        <v>224</v>
      </c>
      <c r="H43" s="4">
        <v>223</v>
      </c>
      <c r="I43" s="5">
        <v>198</v>
      </c>
      <c r="J43" s="2">
        <f t="shared" si="0"/>
        <v>645</v>
      </c>
      <c r="K43" s="12"/>
      <c r="P43" s="6" t="s">
        <v>1280</v>
      </c>
    </row>
    <row r="44" ht="17" spans="1:16">
      <c r="A44" s="1" t="s">
        <v>1281</v>
      </c>
      <c r="B44" s="55"/>
      <c r="C44" s="2">
        <v>10</v>
      </c>
      <c r="D44" s="2">
        <v>13</v>
      </c>
      <c r="E44" s="2">
        <v>35</v>
      </c>
      <c r="F44" s="2">
        <v>1</v>
      </c>
      <c r="G44" s="3">
        <v>233</v>
      </c>
      <c r="H44" s="4">
        <v>221</v>
      </c>
      <c r="I44" s="5">
        <v>182</v>
      </c>
      <c r="J44" s="2">
        <f t="shared" si="0"/>
        <v>636</v>
      </c>
      <c r="L44" s="17"/>
    </row>
    <row r="45" ht="17" spans="1:16">
      <c r="A45" s="1" t="s">
        <v>1282</v>
      </c>
      <c r="B45" s="56"/>
      <c r="C45" s="2">
        <v>16</v>
      </c>
      <c r="D45" s="2">
        <v>15</v>
      </c>
      <c r="E45" s="2">
        <v>20</v>
      </c>
      <c r="F45" s="2">
        <v>1</v>
      </c>
      <c r="G45" s="3">
        <v>218</v>
      </c>
      <c r="H45" s="4">
        <v>212</v>
      </c>
      <c r="I45" s="5">
        <v>203</v>
      </c>
      <c r="J45" s="2">
        <f t="shared" si="0"/>
        <v>633</v>
      </c>
      <c r="L45" s="17"/>
    </row>
    <row r="46" ht="68" spans="1:16">
      <c r="A46" s="1" t="s">
        <v>1283</v>
      </c>
      <c r="B46" s="57"/>
      <c r="C46" s="2">
        <v>15</v>
      </c>
      <c r="D46" s="2">
        <v>15</v>
      </c>
      <c r="E46" s="2">
        <v>25</v>
      </c>
      <c r="F46" s="2">
        <v>0</v>
      </c>
      <c r="G46" s="3">
        <v>223</v>
      </c>
      <c r="H46" s="4">
        <v>215</v>
      </c>
      <c r="I46" s="5">
        <v>194</v>
      </c>
      <c r="J46" s="2">
        <f t="shared" si="0"/>
        <v>632</v>
      </c>
      <c r="K46" s="12"/>
      <c r="N46" s="14"/>
      <c r="P46" s="6" t="s">
        <v>1284</v>
      </c>
    </row>
    <row r="47" ht="17" spans="1:16">
      <c r="A47" s="1" t="s">
        <v>1285</v>
      </c>
      <c r="B47" s="58"/>
      <c r="C47" s="2">
        <v>20</v>
      </c>
      <c r="D47" s="2">
        <v>20</v>
      </c>
      <c r="E47" s="2">
        <v>10</v>
      </c>
      <c r="F47" s="2">
        <v>0</v>
      </c>
      <c r="G47" s="3">
        <v>211</v>
      </c>
      <c r="H47" s="4">
        <v>204</v>
      </c>
      <c r="I47" s="5">
        <v>214</v>
      </c>
      <c r="J47" s="2">
        <f t="shared" si="0"/>
        <v>629</v>
      </c>
      <c r="K47" s="12"/>
      <c r="P47" s="6" t="s">
        <v>1286</v>
      </c>
    </row>
    <row r="48" ht="17" spans="1:16">
      <c r="A48" s="1" t="s">
        <v>1287</v>
      </c>
      <c r="B48" s="59"/>
      <c r="C48" s="2">
        <v>32</v>
      </c>
      <c r="D48" s="2">
        <v>7</v>
      </c>
      <c r="E48" s="2">
        <v>18</v>
      </c>
      <c r="F48" s="2">
        <v>0</v>
      </c>
      <c r="G48" s="3">
        <v>196</v>
      </c>
      <c r="H48" s="4">
        <v>215</v>
      </c>
      <c r="I48" s="5">
        <v>214</v>
      </c>
      <c r="J48" s="2">
        <f t="shared" si="0"/>
        <v>625</v>
      </c>
      <c r="L48" s="17"/>
    </row>
    <row r="49" ht="17" spans="1:16">
      <c r="A49" s="1" t="s">
        <v>1288</v>
      </c>
      <c r="B49" s="60"/>
      <c r="C49" s="2">
        <v>24</v>
      </c>
      <c r="D49" s="2">
        <v>14</v>
      </c>
      <c r="E49" s="2">
        <v>16</v>
      </c>
      <c r="F49" s="2">
        <v>1</v>
      </c>
      <c r="G49" s="3">
        <v>205</v>
      </c>
      <c r="H49" s="4">
        <v>209</v>
      </c>
      <c r="I49" s="5">
        <v>211</v>
      </c>
      <c r="J49" s="2">
        <f t="shared" si="0"/>
        <v>625</v>
      </c>
      <c r="L49" s="17"/>
      <c r="N49" s="14"/>
      <c r="P49" s="6" t="s">
        <v>1289</v>
      </c>
    </row>
    <row r="50" ht="17" spans="1:16">
      <c r="A50" s="1" t="s">
        <v>1290</v>
      </c>
      <c r="B50" s="61"/>
      <c r="C50" s="2">
        <v>20</v>
      </c>
      <c r="D50" s="2">
        <v>15</v>
      </c>
      <c r="E50" s="2">
        <v>20</v>
      </c>
      <c r="F50" s="2">
        <v>0</v>
      </c>
      <c r="G50" s="3">
        <v>212</v>
      </c>
      <c r="H50" s="4">
        <v>211</v>
      </c>
      <c r="I50" s="5">
        <v>202</v>
      </c>
      <c r="J50" s="2">
        <f t="shared" si="0"/>
        <v>625</v>
      </c>
      <c r="K50" s="12" t="s">
        <v>60</v>
      </c>
      <c r="P50" s="6" t="s">
        <v>1291</v>
      </c>
    </row>
    <row r="51" ht="34" spans="1:16">
      <c r="A51" s="1" t="s">
        <v>1292</v>
      </c>
      <c r="B51" s="62"/>
      <c r="C51" s="2">
        <v>15</v>
      </c>
      <c r="D51" s="2">
        <v>15</v>
      </c>
      <c r="E51" s="2">
        <v>20</v>
      </c>
      <c r="F51" s="2">
        <v>5</v>
      </c>
      <c r="G51" s="3">
        <v>216</v>
      </c>
      <c r="H51" s="4">
        <v>209</v>
      </c>
      <c r="I51" s="5">
        <v>197</v>
      </c>
      <c r="J51" s="2">
        <f t="shared" si="0"/>
        <v>622</v>
      </c>
      <c r="K51" s="12"/>
      <c r="P51" s="6" t="s">
        <v>1293</v>
      </c>
    </row>
    <row r="52" ht="34" spans="1:16">
      <c r="A52" s="1" t="s">
        <v>1294</v>
      </c>
      <c r="B52" s="63"/>
      <c r="C52" s="2">
        <v>15</v>
      </c>
      <c r="D52" s="2">
        <v>15</v>
      </c>
      <c r="E52" s="2">
        <v>30</v>
      </c>
      <c r="F52" s="2">
        <v>0</v>
      </c>
      <c r="G52" s="3">
        <v>223</v>
      </c>
      <c r="H52" s="4">
        <v>214</v>
      </c>
      <c r="I52" s="5">
        <v>184</v>
      </c>
      <c r="J52" s="2">
        <f t="shared" si="0"/>
        <v>621</v>
      </c>
      <c r="K52" s="12" t="s">
        <v>60</v>
      </c>
      <c r="P52" s="6" t="s">
        <v>1295</v>
      </c>
    </row>
    <row r="53" ht="51" spans="1:16">
      <c r="A53" s="1" t="s">
        <v>1296</v>
      </c>
      <c r="B53" s="64"/>
      <c r="C53" s="2">
        <v>20</v>
      </c>
      <c r="D53" s="2">
        <v>15</v>
      </c>
      <c r="E53" s="2">
        <v>25</v>
      </c>
      <c r="F53" s="2">
        <v>0</v>
      </c>
      <c r="G53" s="3">
        <v>212</v>
      </c>
      <c r="H53" s="4">
        <v>211</v>
      </c>
      <c r="I53" s="5">
        <v>193</v>
      </c>
      <c r="J53" s="2">
        <f t="shared" si="0"/>
        <v>616</v>
      </c>
      <c r="K53" s="12"/>
      <c r="P53" s="6" t="s">
        <v>1297</v>
      </c>
    </row>
    <row r="54" ht="17" spans="1:16">
      <c r="A54" s="1" t="s">
        <v>1298</v>
      </c>
      <c r="B54" s="65"/>
      <c r="C54" s="2">
        <v>21</v>
      </c>
      <c r="D54" s="2">
        <v>17</v>
      </c>
      <c r="E54" s="2">
        <v>19</v>
      </c>
      <c r="F54" s="2">
        <v>1</v>
      </c>
      <c r="G54" s="3">
        <v>207</v>
      </c>
      <c r="H54" s="4">
        <v>204</v>
      </c>
      <c r="I54" s="5">
        <v>201</v>
      </c>
      <c r="J54" s="2">
        <f t="shared" si="0"/>
        <v>612</v>
      </c>
      <c r="L54" s="17"/>
    </row>
    <row r="55" ht="84" spans="1:16">
      <c r="A55" s="1" t="s">
        <v>1299</v>
      </c>
      <c r="B55" s="66"/>
      <c r="C55" s="2">
        <v>20</v>
      </c>
      <c r="D55" s="2">
        <v>20</v>
      </c>
      <c r="E55" s="2">
        <v>20</v>
      </c>
      <c r="F55" s="2">
        <v>0</v>
      </c>
      <c r="G55" s="3">
        <v>211</v>
      </c>
      <c r="H55" s="4">
        <v>203</v>
      </c>
      <c r="I55" s="5">
        <v>197</v>
      </c>
      <c r="J55" s="2">
        <f t="shared" si="0"/>
        <v>611</v>
      </c>
      <c r="K55" s="12"/>
      <c r="P55" s="6" t="s">
        <v>1300</v>
      </c>
    </row>
    <row r="56" ht="17" spans="1:16">
      <c r="A56" s="1" t="s">
        <v>1301</v>
      </c>
      <c r="B56" s="67"/>
      <c r="C56" s="2">
        <v>11</v>
      </c>
      <c r="D56" s="2">
        <v>18</v>
      </c>
      <c r="E56" s="2">
        <v>39</v>
      </c>
      <c r="F56" s="2">
        <v>1</v>
      </c>
      <c r="G56" s="3">
        <v>229</v>
      </c>
      <c r="H56" s="4">
        <v>211</v>
      </c>
      <c r="I56" s="5">
        <v>170</v>
      </c>
      <c r="J56" s="2">
        <f t="shared" si="0"/>
        <v>610</v>
      </c>
      <c r="L56" s="17"/>
      <c r="M56" s="2"/>
    </row>
    <row r="57" ht="17" spans="1:16">
      <c r="A57" s="1" t="s">
        <v>1302</v>
      </c>
      <c r="B57" s="68"/>
      <c r="C57" s="2">
        <v>15</v>
      </c>
      <c r="D57" s="2">
        <v>20</v>
      </c>
      <c r="E57" s="2">
        <v>30</v>
      </c>
      <c r="F57" s="2">
        <v>0</v>
      </c>
      <c r="G57" s="3">
        <v>223</v>
      </c>
      <c r="H57" s="4">
        <v>206</v>
      </c>
      <c r="I57" s="5">
        <v>180</v>
      </c>
      <c r="J57" s="2">
        <f t="shared" si="0"/>
        <v>609</v>
      </c>
      <c r="K57" s="12"/>
      <c r="P57" s="6" t="s">
        <v>1303</v>
      </c>
    </row>
    <row r="58" ht="17" spans="1:16">
      <c r="A58" s="1" t="s">
        <v>1304</v>
      </c>
      <c r="B58" s="69"/>
      <c r="C58" s="2">
        <v>24</v>
      </c>
      <c r="D58" s="2">
        <v>13</v>
      </c>
      <c r="E58" s="2">
        <v>14</v>
      </c>
      <c r="F58" s="2">
        <v>0</v>
      </c>
      <c r="G58" s="3">
        <v>194</v>
      </c>
      <c r="H58" s="4">
        <v>204</v>
      </c>
      <c r="I58" s="5">
        <v>208</v>
      </c>
      <c r="J58" s="2">
        <f t="shared" si="0"/>
        <v>606</v>
      </c>
      <c r="M58" s="12"/>
      <c r="P58" s="6" t="s">
        <v>1305</v>
      </c>
    </row>
    <row r="59" ht="17" spans="1:16">
      <c r="A59" s="1" t="s">
        <v>1306</v>
      </c>
      <c r="B59" s="70"/>
      <c r="C59" s="2">
        <v>29</v>
      </c>
      <c r="D59" s="2">
        <v>16</v>
      </c>
      <c r="E59" s="2">
        <v>17</v>
      </c>
      <c r="F59" s="2">
        <v>1</v>
      </c>
      <c r="G59" s="3">
        <v>196</v>
      </c>
      <c r="H59" s="4">
        <v>203</v>
      </c>
      <c r="I59" s="5">
        <v>207</v>
      </c>
      <c r="J59" s="2">
        <f t="shared" si="0"/>
        <v>606</v>
      </c>
      <c r="L59" s="17"/>
    </row>
    <row r="60" ht="17" spans="1:16">
      <c r="A60" s="1" t="s">
        <v>1307</v>
      </c>
      <c r="B60" s="71"/>
      <c r="C60" s="2">
        <v>10</v>
      </c>
      <c r="D60" s="2">
        <v>15</v>
      </c>
      <c r="E60" s="2">
        <v>45</v>
      </c>
      <c r="F60" s="2">
        <v>0</v>
      </c>
      <c r="G60" s="3">
        <v>234</v>
      </c>
      <c r="H60" s="4">
        <v>216</v>
      </c>
      <c r="I60" s="5">
        <v>154</v>
      </c>
      <c r="J60" s="2">
        <f t="shared" si="0"/>
        <v>604</v>
      </c>
      <c r="K60" s="12"/>
      <c r="P60" s="6" t="s">
        <v>1308</v>
      </c>
    </row>
    <row r="61" ht="17" spans="1:16">
      <c r="A61" s="1" t="s">
        <v>1309</v>
      </c>
      <c r="B61" s="72"/>
      <c r="C61" s="2">
        <v>15</v>
      </c>
      <c r="D61" s="2">
        <v>25</v>
      </c>
      <c r="E61" s="2">
        <v>25</v>
      </c>
      <c r="F61" s="2">
        <v>0</v>
      </c>
      <c r="G61" s="3">
        <v>221</v>
      </c>
      <c r="H61" s="4">
        <v>197</v>
      </c>
      <c r="I61" s="5">
        <v>184</v>
      </c>
      <c r="J61" s="2">
        <f t="shared" si="0"/>
        <v>602</v>
      </c>
      <c r="K61" s="12"/>
      <c r="P61" s="6" t="s">
        <v>1310</v>
      </c>
    </row>
    <row r="62" ht="34" spans="1:16">
      <c r="A62" s="1" t="s">
        <v>1311</v>
      </c>
      <c r="B62" s="73"/>
      <c r="C62" s="2">
        <v>30</v>
      </c>
      <c r="D62" s="2">
        <v>15</v>
      </c>
      <c r="E62" s="2">
        <v>15</v>
      </c>
      <c r="F62" s="2">
        <v>0</v>
      </c>
      <c r="G62" s="3">
        <v>189</v>
      </c>
      <c r="H62" s="4">
        <v>203</v>
      </c>
      <c r="I62" s="5">
        <v>210</v>
      </c>
      <c r="J62" s="2">
        <f t="shared" si="0"/>
        <v>602</v>
      </c>
      <c r="K62" s="12"/>
      <c r="P62" s="6" t="s">
        <v>1312</v>
      </c>
    </row>
    <row r="63" ht="17" spans="1:16">
      <c r="A63" s="1" t="s">
        <v>1313</v>
      </c>
      <c r="B63" s="74"/>
      <c r="M63" s="2"/>
      <c r="N63" s="14"/>
      <c r="P63" s="6" t="s">
        <v>1314</v>
      </c>
    </row>
    <row r="64" ht="34" spans="1:16">
      <c r="A64" s="1" t="s">
        <v>1315</v>
      </c>
      <c r="B64" s="75"/>
      <c r="C64" s="2">
        <v>25</v>
      </c>
      <c r="D64" s="2">
        <v>15</v>
      </c>
      <c r="E64" s="2">
        <v>25</v>
      </c>
      <c r="F64" s="2">
        <v>0</v>
      </c>
      <c r="G64" s="3">
        <v>201</v>
      </c>
      <c r="H64" s="4">
        <v>207</v>
      </c>
      <c r="I64" s="5">
        <v>193</v>
      </c>
      <c r="J64" s="2">
        <f t="shared" ref="J64:J73" si="1">G64+H64+I64</f>
        <v>601</v>
      </c>
      <c r="K64" s="12"/>
      <c r="P64" s="6" t="s">
        <v>1316</v>
      </c>
    </row>
    <row r="65" ht="17" spans="1:16">
      <c r="A65" s="1" t="s">
        <v>1317</v>
      </c>
      <c r="B65" s="76"/>
      <c r="C65" s="2">
        <v>20</v>
      </c>
      <c r="D65" s="2">
        <v>15</v>
      </c>
      <c r="E65" s="2">
        <v>35</v>
      </c>
      <c r="F65" s="2">
        <v>0</v>
      </c>
      <c r="G65" s="3">
        <v>213</v>
      </c>
      <c r="H65" s="4">
        <v>209</v>
      </c>
      <c r="I65" s="5">
        <v>174</v>
      </c>
      <c r="J65" s="2">
        <f t="shared" si="1"/>
        <v>596</v>
      </c>
      <c r="K65" s="12"/>
      <c r="P65" s="6" t="s">
        <v>1318</v>
      </c>
    </row>
    <row r="66" ht="17" spans="1:16">
      <c r="A66" s="1" t="s">
        <v>1319</v>
      </c>
      <c r="B66" s="77"/>
      <c r="C66" s="2">
        <v>16</v>
      </c>
      <c r="D66" s="2">
        <v>23</v>
      </c>
      <c r="E66" s="2">
        <v>27</v>
      </c>
      <c r="F66" s="2">
        <v>2</v>
      </c>
      <c r="G66" s="3">
        <v>212</v>
      </c>
      <c r="H66" s="4">
        <v>196</v>
      </c>
      <c r="I66" s="5">
        <v>183</v>
      </c>
      <c r="J66" s="2">
        <f t="shared" si="1"/>
        <v>591</v>
      </c>
      <c r="L66" s="17"/>
    </row>
    <row r="67" ht="17" spans="1:16">
      <c r="A67" s="1" t="s">
        <v>1320</v>
      </c>
      <c r="B67" s="78"/>
      <c r="C67" s="2">
        <v>29</v>
      </c>
      <c r="D67" s="2">
        <v>18</v>
      </c>
      <c r="E67" s="2">
        <v>21</v>
      </c>
      <c r="F67" s="2">
        <v>2</v>
      </c>
      <c r="G67" s="3">
        <v>192</v>
      </c>
      <c r="H67" s="4">
        <v>196</v>
      </c>
      <c r="I67" s="5">
        <v>195</v>
      </c>
      <c r="J67" s="2">
        <f t="shared" si="1"/>
        <v>583</v>
      </c>
      <c r="L67" s="17"/>
      <c r="M67" s="2"/>
      <c r="N67" s="79"/>
      <c r="P67" s="6" t="s">
        <v>1321</v>
      </c>
    </row>
    <row r="68" ht="17" spans="1:16">
      <c r="A68" s="1" t="s">
        <v>1322</v>
      </c>
      <c r="B68" s="80"/>
      <c r="C68" s="2">
        <v>20</v>
      </c>
      <c r="D68" s="2">
        <v>20</v>
      </c>
      <c r="E68" s="2">
        <v>35</v>
      </c>
      <c r="F68" s="2">
        <v>0</v>
      </c>
      <c r="G68" s="3">
        <v>212</v>
      </c>
      <c r="H68" s="4">
        <v>201</v>
      </c>
      <c r="I68" s="5">
        <v>170</v>
      </c>
      <c r="J68" s="2">
        <f t="shared" si="1"/>
        <v>583</v>
      </c>
      <c r="K68" s="12"/>
      <c r="P68" s="6" t="s">
        <v>1323</v>
      </c>
    </row>
    <row r="69" ht="17" spans="1:16">
      <c r="A69" s="1" t="s">
        <v>1324</v>
      </c>
      <c r="B69" s="81"/>
      <c r="C69" s="2">
        <v>20</v>
      </c>
      <c r="D69" s="2">
        <v>15</v>
      </c>
      <c r="E69" s="2">
        <v>25</v>
      </c>
      <c r="F69" s="2">
        <v>10</v>
      </c>
      <c r="G69" s="3">
        <v>199</v>
      </c>
      <c r="H69" s="4">
        <v>198</v>
      </c>
      <c r="I69" s="5">
        <v>182</v>
      </c>
      <c r="J69" s="2">
        <f t="shared" si="1"/>
        <v>579</v>
      </c>
      <c r="K69" s="12"/>
      <c r="P69" s="6" t="s">
        <v>1325</v>
      </c>
    </row>
    <row r="70" ht="17" spans="1:16">
      <c r="A70" s="1" t="s">
        <v>1326</v>
      </c>
      <c r="B70" s="82"/>
      <c r="C70" s="2">
        <v>20</v>
      </c>
      <c r="D70" s="2">
        <v>20</v>
      </c>
      <c r="E70" s="2">
        <v>40</v>
      </c>
      <c r="F70" s="2">
        <v>0</v>
      </c>
      <c r="G70" s="3">
        <v>213</v>
      </c>
      <c r="H70" s="4">
        <v>200</v>
      </c>
      <c r="I70" s="5">
        <v>160</v>
      </c>
      <c r="J70" s="2">
        <f t="shared" si="1"/>
        <v>573</v>
      </c>
      <c r="K70" s="12"/>
      <c r="P70" s="6" t="s">
        <v>1327</v>
      </c>
    </row>
    <row r="71" ht="17" spans="1:16">
      <c r="A71" s="1" t="s">
        <v>1328</v>
      </c>
      <c r="B71" s="83"/>
      <c r="C71" s="2">
        <v>30</v>
      </c>
      <c r="D71" s="2">
        <v>20</v>
      </c>
      <c r="E71" s="2">
        <v>25</v>
      </c>
      <c r="F71" s="2">
        <v>0</v>
      </c>
      <c r="G71" s="3">
        <v>190</v>
      </c>
      <c r="H71" s="4">
        <v>194</v>
      </c>
      <c r="I71" s="5">
        <v>188</v>
      </c>
      <c r="J71" s="2">
        <f t="shared" si="1"/>
        <v>572</v>
      </c>
      <c r="K71" s="12"/>
      <c r="P71" s="6" t="s">
        <v>1329</v>
      </c>
    </row>
    <row r="72" ht="51" spans="1:16">
      <c r="A72" s="1" t="s">
        <v>1330</v>
      </c>
      <c r="B72" s="84"/>
      <c r="C72" s="2">
        <v>20</v>
      </c>
      <c r="D72" s="2">
        <v>25</v>
      </c>
      <c r="E72" s="2">
        <v>35</v>
      </c>
      <c r="F72" s="2">
        <v>0</v>
      </c>
      <c r="G72" s="3">
        <v>212</v>
      </c>
      <c r="H72" s="4">
        <v>193</v>
      </c>
      <c r="I72" s="5">
        <v>166</v>
      </c>
      <c r="J72" s="2">
        <f t="shared" si="1"/>
        <v>571</v>
      </c>
      <c r="K72" s="12"/>
      <c r="P72" s="6" t="s">
        <v>1331</v>
      </c>
    </row>
    <row r="73" ht="17" spans="1:16">
      <c r="A73" s="1" t="s">
        <v>1332</v>
      </c>
      <c r="B73" s="85"/>
      <c r="C73" s="2">
        <v>10</v>
      </c>
      <c r="D73" s="2">
        <v>25</v>
      </c>
      <c r="E73" s="2">
        <v>40</v>
      </c>
      <c r="F73" s="2">
        <v>5</v>
      </c>
      <c r="G73" s="3">
        <v>225</v>
      </c>
      <c r="H73" s="4">
        <v>193</v>
      </c>
      <c r="I73" s="5">
        <v>153</v>
      </c>
      <c r="J73" s="2">
        <f t="shared" si="1"/>
        <v>571</v>
      </c>
      <c r="K73" s="12"/>
      <c r="P73" s="6" t="s">
        <v>1333</v>
      </c>
    </row>
    <row r="74" ht="84" spans="1:16">
      <c r="A74" s="1" t="s">
        <v>1334</v>
      </c>
      <c r="B74" s="86"/>
      <c r="M74" s="2"/>
      <c r="N74" s="14"/>
      <c r="O74" s="28">
        <v>239239239</v>
      </c>
      <c r="P74" s="6" t="s">
        <v>1335</v>
      </c>
    </row>
    <row r="75" ht="17" spans="1:16">
      <c r="A75" s="1" t="s">
        <v>1336</v>
      </c>
      <c r="B75" s="87"/>
      <c r="C75" s="2">
        <v>25</v>
      </c>
      <c r="D75" s="2">
        <v>30</v>
      </c>
      <c r="E75" s="2">
        <v>20</v>
      </c>
      <c r="F75" s="2">
        <v>0</v>
      </c>
      <c r="G75" s="3">
        <v>200</v>
      </c>
      <c r="H75" s="4">
        <v>182</v>
      </c>
      <c r="I75" s="5">
        <v>187</v>
      </c>
      <c r="J75" s="2">
        <f t="shared" ref="J75:J138" si="2">G75+H75+I75</f>
        <v>569</v>
      </c>
      <c r="K75" s="12"/>
      <c r="P75" s="6" t="s">
        <v>1337</v>
      </c>
    </row>
    <row r="76" ht="17" spans="1:16">
      <c r="A76" s="1" t="s">
        <v>1338</v>
      </c>
      <c r="B76" s="88"/>
      <c r="C76" s="2">
        <v>3</v>
      </c>
      <c r="D76" s="2">
        <v>38</v>
      </c>
      <c r="E76" s="2">
        <v>39</v>
      </c>
      <c r="F76" s="2">
        <v>0</v>
      </c>
      <c r="G76" s="3">
        <v>232</v>
      </c>
      <c r="H76" s="4">
        <v>180</v>
      </c>
      <c r="I76" s="5">
        <v>154</v>
      </c>
      <c r="J76" s="2">
        <f t="shared" si="2"/>
        <v>566</v>
      </c>
      <c r="L76" s="17"/>
    </row>
    <row r="77" ht="185" spans="1:16">
      <c r="A77" s="1" t="s">
        <v>1339</v>
      </c>
      <c r="B77" s="89"/>
      <c r="C77" s="2">
        <v>20</v>
      </c>
      <c r="D77" s="2">
        <v>20</v>
      </c>
      <c r="E77" s="2">
        <v>25</v>
      </c>
      <c r="F77" s="2">
        <v>10</v>
      </c>
      <c r="G77" s="3">
        <v>198</v>
      </c>
      <c r="H77" s="4">
        <v>190</v>
      </c>
      <c r="I77" s="5">
        <v>177</v>
      </c>
      <c r="J77" s="2">
        <f t="shared" si="2"/>
        <v>565</v>
      </c>
      <c r="K77" s="12"/>
      <c r="N77" s="14"/>
      <c r="O77" s="28">
        <v>253252245</v>
      </c>
      <c r="P77" s="6" t="s">
        <v>1340</v>
      </c>
    </row>
    <row r="78" ht="34" spans="1:16">
      <c r="A78" s="1" t="s">
        <v>1341</v>
      </c>
      <c r="B78" s="90"/>
      <c r="C78" s="2">
        <v>35</v>
      </c>
      <c r="D78" s="2">
        <v>20</v>
      </c>
      <c r="E78" s="2">
        <v>20</v>
      </c>
      <c r="F78" s="2">
        <v>0</v>
      </c>
      <c r="G78" s="3">
        <v>178</v>
      </c>
      <c r="H78" s="4">
        <v>191</v>
      </c>
      <c r="I78" s="5">
        <v>195</v>
      </c>
      <c r="J78" s="2">
        <f t="shared" si="2"/>
        <v>564</v>
      </c>
      <c r="K78" s="12"/>
      <c r="P78" s="6" t="s">
        <v>1342</v>
      </c>
    </row>
    <row r="79" ht="34" spans="1:16">
      <c r="A79" s="1" t="s">
        <v>1343</v>
      </c>
      <c r="B79" s="91"/>
      <c r="C79" s="2">
        <v>30</v>
      </c>
      <c r="D79" s="2">
        <v>20</v>
      </c>
      <c r="E79" s="2">
        <v>30</v>
      </c>
      <c r="F79" s="2">
        <v>0</v>
      </c>
      <c r="G79" s="3">
        <v>190</v>
      </c>
      <c r="H79" s="4">
        <v>194</v>
      </c>
      <c r="I79" s="5">
        <v>179</v>
      </c>
      <c r="J79" s="2">
        <f t="shared" si="2"/>
        <v>563</v>
      </c>
      <c r="K79" s="12" t="s">
        <v>1344</v>
      </c>
      <c r="P79" s="6" t="s">
        <v>1345</v>
      </c>
    </row>
    <row r="80" ht="17" spans="1:16">
      <c r="A80" s="1" t="s">
        <v>1346</v>
      </c>
      <c r="B80" s="92"/>
      <c r="C80" s="2">
        <v>15</v>
      </c>
      <c r="D80" s="2">
        <v>30</v>
      </c>
      <c r="E80" s="2">
        <v>40</v>
      </c>
      <c r="F80" s="2">
        <v>0</v>
      </c>
      <c r="G80" s="3">
        <v>221</v>
      </c>
      <c r="H80" s="4">
        <v>187</v>
      </c>
      <c r="I80" s="5">
        <v>153</v>
      </c>
      <c r="J80" s="2">
        <f t="shared" si="2"/>
        <v>561</v>
      </c>
      <c r="K80" s="12"/>
      <c r="P80" s="6" t="s">
        <v>1347</v>
      </c>
    </row>
    <row r="81" ht="17" spans="1:16">
      <c r="A81" s="1" t="s">
        <v>1348</v>
      </c>
      <c r="B81" s="93"/>
      <c r="C81" s="2">
        <v>25</v>
      </c>
      <c r="D81" s="2">
        <v>30</v>
      </c>
      <c r="E81" s="2">
        <v>25</v>
      </c>
      <c r="F81" s="2">
        <v>0</v>
      </c>
      <c r="G81" s="3">
        <v>200</v>
      </c>
      <c r="H81" s="4">
        <v>181</v>
      </c>
      <c r="I81" s="5">
        <v>179</v>
      </c>
      <c r="J81" s="2">
        <f t="shared" si="2"/>
        <v>560</v>
      </c>
      <c r="K81" s="12"/>
      <c r="P81" s="6" t="s">
        <v>1349</v>
      </c>
    </row>
    <row r="82" ht="34" spans="1:16">
      <c r="A82" s="1" t="s">
        <v>1350</v>
      </c>
      <c r="B82" s="94"/>
      <c r="C82" s="2">
        <v>25</v>
      </c>
      <c r="D82" s="2">
        <v>20</v>
      </c>
      <c r="E82" s="2">
        <v>40</v>
      </c>
      <c r="F82" s="2">
        <v>0</v>
      </c>
      <c r="G82" s="3">
        <v>202</v>
      </c>
      <c r="H82" s="4">
        <v>197</v>
      </c>
      <c r="I82" s="5">
        <v>160</v>
      </c>
      <c r="J82" s="2">
        <f t="shared" si="2"/>
        <v>559</v>
      </c>
      <c r="K82" s="12"/>
      <c r="P82" s="6" t="s">
        <v>1351</v>
      </c>
    </row>
    <row r="83" ht="17" spans="1:16">
      <c r="A83" s="1" t="s">
        <v>1352</v>
      </c>
      <c r="B83" s="95"/>
      <c r="C83" s="2">
        <v>8</v>
      </c>
      <c r="D83" s="2">
        <v>31</v>
      </c>
      <c r="E83" s="2">
        <v>50</v>
      </c>
      <c r="F83" s="2">
        <v>1</v>
      </c>
      <c r="G83" s="3">
        <v>227</v>
      </c>
      <c r="H83" s="4">
        <v>189</v>
      </c>
      <c r="I83" s="5">
        <v>141</v>
      </c>
      <c r="J83" s="2">
        <f t="shared" si="2"/>
        <v>557</v>
      </c>
      <c r="L83" s="17"/>
    </row>
    <row r="84" ht="17" spans="1:16">
      <c r="A84" s="1" t="s">
        <v>1353</v>
      </c>
      <c r="B84" s="96"/>
      <c r="C84" s="2">
        <v>36</v>
      </c>
      <c r="D84" s="2">
        <v>20</v>
      </c>
      <c r="E84" s="2">
        <v>23</v>
      </c>
      <c r="F84" s="2">
        <v>2</v>
      </c>
      <c r="G84" s="3">
        <v>178</v>
      </c>
      <c r="H84" s="4">
        <v>187</v>
      </c>
      <c r="I84" s="5">
        <v>190</v>
      </c>
      <c r="J84" s="2">
        <f t="shared" si="2"/>
        <v>555</v>
      </c>
      <c r="L84" s="17"/>
    </row>
    <row r="85" ht="17" spans="1:16">
      <c r="A85" s="1" t="s">
        <v>1354</v>
      </c>
      <c r="B85" s="97"/>
      <c r="C85" s="2">
        <v>30</v>
      </c>
      <c r="D85" s="2">
        <v>20</v>
      </c>
      <c r="E85" s="2">
        <v>35</v>
      </c>
      <c r="F85" s="2">
        <v>0</v>
      </c>
      <c r="G85" s="3">
        <v>191</v>
      </c>
      <c r="H85" s="4">
        <v>193</v>
      </c>
      <c r="I85" s="5">
        <v>169</v>
      </c>
      <c r="J85" s="2">
        <f t="shared" si="2"/>
        <v>553</v>
      </c>
      <c r="K85" s="12"/>
      <c r="P85" s="6" t="s">
        <v>1355</v>
      </c>
    </row>
    <row r="86" ht="17" spans="1:16">
      <c r="A86" s="1" t="s">
        <v>1356</v>
      </c>
      <c r="B86" s="98"/>
      <c r="C86" s="2">
        <v>30</v>
      </c>
      <c r="D86" s="2">
        <v>30</v>
      </c>
      <c r="E86" s="2">
        <v>25</v>
      </c>
      <c r="F86" s="2">
        <v>0</v>
      </c>
      <c r="G86" s="3">
        <v>189</v>
      </c>
      <c r="H86" s="4">
        <v>178</v>
      </c>
      <c r="I86" s="5">
        <v>178</v>
      </c>
      <c r="J86" s="2">
        <f t="shared" si="2"/>
        <v>545</v>
      </c>
      <c r="K86" s="12"/>
      <c r="P86" s="6" t="s">
        <v>1357</v>
      </c>
    </row>
    <row r="87" ht="34" spans="1:16">
      <c r="A87" s="1" t="s">
        <v>1358</v>
      </c>
      <c r="B87" s="99"/>
      <c r="C87" s="2">
        <v>20</v>
      </c>
      <c r="D87" s="2">
        <v>35</v>
      </c>
      <c r="E87" s="2">
        <v>35</v>
      </c>
      <c r="F87" s="2">
        <v>0</v>
      </c>
      <c r="G87" s="3">
        <v>210</v>
      </c>
      <c r="H87" s="4">
        <v>175</v>
      </c>
      <c r="I87" s="5">
        <v>157</v>
      </c>
      <c r="J87" s="2">
        <f t="shared" si="2"/>
        <v>542</v>
      </c>
      <c r="K87" s="12"/>
      <c r="P87" s="6" t="s">
        <v>1359</v>
      </c>
    </row>
    <row r="88" ht="17" spans="1:16">
      <c r="A88" s="1" t="s">
        <v>1360</v>
      </c>
      <c r="B88" s="100"/>
      <c r="C88" s="2">
        <v>35</v>
      </c>
      <c r="D88" s="2">
        <v>25</v>
      </c>
      <c r="E88" s="2">
        <v>25</v>
      </c>
      <c r="F88" s="2">
        <v>0</v>
      </c>
      <c r="G88" s="3">
        <v>178</v>
      </c>
      <c r="H88" s="4">
        <v>182</v>
      </c>
      <c r="I88" s="5">
        <v>182</v>
      </c>
      <c r="J88" s="2">
        <f t="shared" si="2"/>
        <v>542</v>
      </c>
      <c r="K88" s="12"/>
      <c r="P88" s="6" t="s">
        <v>1361</v>
      </c>
    </row>
    <row r="89" ht="17" spans="1:16">
      <c r="A89" s="1" t="s">
        <v>1362</v>
      </c>
      <c r="B89" s="101"/>
      <c r="C89" s="2">
        <v>28</v>
      </c>
      <c r="D89" s="2">
        <v>25</v>
      </c>
      <c r="E89" s="2">
        <v>30</v>
      </c>
      <c r="F89" s="2">
        <v>5</v>
      </c>
      <c r="G89" s="3">
        <v>187</v>
      </c>
      <c r="H89" s="4">
        <v>181</v>
      </c>
      <c r="I89" s="5">
        <v>172</v>
      </c>
      <c r="J89" s="2">
        <f t="shared" si="2"/>
        <v>540</v>
      </c>
      <c r="L89" s="17"/>
    </row>
    <row r="90" ht="17" spans="1:16">
      <c r="A90" s="1" t="s">
        <v>1363</v>
      </c>
      <c r="B90" s="101"/>
      <c r="C90" s="2">
        <v>28</v>
      </c>
      <c r="D90" s="2">
        <v>5</v>
      </c>
      <c r="E90" s="2">
        <v>30</v>
      </c>
      <c r="F90" s="2">
        <v>5</v>
      </c>
      <c r="G90" s="3">
        <v>187</v>
      </c>
      <c r="H90" s="4">
        <v>181</v>
      </c>
      <c r="I90" s="5">
        <v>172</v>
      </c>
      <c r="J90" s="2">
        <f t="shared" si="2"/>
        <v>540</v>
      </c>
      <c r="L90" s="17"/>
      <c r="N90" s="14"/>
      <c r="P90" s="6" t="s">
        <v>1364</v>
      </c>
    </row>
    <row r="91" ht="17" spans="1:16">
      <c r="A91" s="1" t="s">
        <v>1365</v>
      </c>
      <c r="B91" s="102"/>
      <c r="C91" s="2">
        <v>20</v>
      </c>
      <c r="D91" s="2">
        <v>25</v>
      </c>
      <c r="E91" s="2">
        <v>50</v>
      </c>
      <c r="F91" s="2">
        <v>0</v>
      </c>
      <c r="G91" s="3">
        <v>212</v>
      </c>
      <c r="H91" s="4">
        <v>191</v>
      </c>
      <c r="I91" s="5">
        <v>137</v>
      </c>
      <c r="J91" s="2">
        <f t="shared" si="2"/>
        <v>540</v>
      </c>
      <c r="K91" s="12"/>
      <c r="P91" s="6" t="s">
        <v>1366</v>
      </c>
    </row>
    <row r="92" ht="17" spans="1:16">
      <c r="A92" s="1" t="s">
        <v>1367</v>
      </c>
      <c r="B92" s="103"/>
      <c r="C92" s="2">
        <v>37</v>
      </c>
      <c r="D92" s="2">
        <v>25</v>
      </c>
      <c r="E92" s="2">
        <v>10</v>
      </c>
      <c r="F92" s="2">
        <v>0</v>
      </c>
      <c r="G92" s="3">
        <v>161</v>
      </c>
      <c r="H92" s="4">
        <v>175</v>
      </c>
      <c r="I92" s="5">
        <v>201</v>
      </c>
      <c r="J92" s="2">
        <f t="shared" si="2"/>
        <v>537</v>
      </c>
      <c r="M92" s="12"/>
      <c r="P92" s="6" t="s">
        <v>1368</v>
      </c>
    </row>
    <row r="93" ht="17" spans="1:16">
      <c r="A93" s="1" t="s">
        <v>1369</v>
      </c>
      <c r="B93" s="104"/>
      <c r="C93" s="2">
        <v>30</v>
      </c>
      <c r="D93" s="2">
        <v>30</v>
      </c>
      <c r="E93" s="2">
        <v>30</v>
      </c>
      <c r="F93" s="2">
        <v>0</v>
      </c>
      <c r="G93" s="3">
        <v>190</v>
      </c>
      <c r="H93" s="4">
        <v>177</v>
      </c>
      <c r="I93" s="5">
        <v>170</v>
      </c>
      <c r="J93" s="2">
        <f t="shared" si="2"/>
        <v>537</v>
      </c>
      <c r="K93" s="12"/>
      <c r="P93" s="6" t="s">
        <v>1370</v>
      </c>
    </row>
    <row r="94" ht="17" spans="1:16">
      <c r="A94" s="1" t="s">
        <v>1371</v>
      </c>
      <c r="B94" s="105"/>
      <c r="C94" s="2">
        <v>25</v>
      </c>
      <c r="D94" s="2">
        <v>31</v>
      </c>
      <c r="E94" s="2">
        <v>26</v>
      </c>
      <c r="F94" s="2">
        <v>5</v>
      </c>
      <c r="G94" s="3">
        <v>189</v>
      </c>
      <c r="H94" s="4">
        <v>174</v>
      </c>
      <c r="I94" s="5">
        <v>173</v>
      </c>
      <c r="J94" s="2">
        <f t="shared" si="2"/>
        <v>536</v>
      </c>
      <c r="L94" s="17"/>
    </row>
    <row r="95" ht="17" spans="1:16">
      <c r="A95" s="1" t="s">
        <v>1372</v>
      </c>
      <c r="B95" s="106"/>
      <c r="C95" s="2">
        <v>22</v>
      </c>
      <c r="D95" s="2">
        <v>28</v>
      </c>
      <c r="E95" s="2">
        <v>34</v>
      </c>
      <c r="F95" s="2">
        <v>6</v>
      </c>
      <c r="G95" s="3">
        <v>193</v>
      </c>
      <c r="H95" s="4">
        <v>178</v>
      </c>
      <c r="I95" s="5">
        <v>163</v>
      </c>
      <c r="J95" s="2">
        <f t="shared" si="2"/>
        <v>534</v>
      </c>
      <c r="L95" s="17"/>
      <c r="M95" s="2"/>
      <c r="N95" s="14"/>
      <c r="P95" s="6" t="s">
        <v>1373</v>
      </c>
    </row>
    <row r="96" ht="51" spans="1:16">
      <c r="A96" s="1" t="s">
        <v>1374</v>
      </c>
      <c r="B96" s="107"/>
      <c r="C96" s="2">
        <v>30</v>
      </c>
      <c r="D96" s="2">
        <v>20</v>
      </c>
      <c r="E96" s="2">
        <v>45</v>
      </c>
      <c r="F96" s="2">
        <v>0</v>
      </c>
      <c r="G96" s="3">
        <v>191</v>
      </c>
      <c r="H96" s="4">
        <v>192</v>
      </c>
      <c r="I96" s="5">
        <v>150</v>
      </c>
      <c r="J96" s="2">
        <f t="shared" si="2"/>
        <v>533</v>
      </c>
      <c r="K96" s="12"/>
      <c r="P96" s="6" t="s">
        <v>1375</v>
      </c>
    </row>
    <row r="97" ht="17" spans="1:16">
      <c r="A97" s="1" t="s">
        <v>1376</v>
      </c>
      <c r="B97" s="108"/>
      <c r="C97" s="2">
        <v>30</v>
      </c>
      <c r="D97" s="2">
        <v>25</v>
      </c>
      <c r="E97" s="2">
        <v>40</v>
      </c>
      <c r="F97" s="2">
        <v>0</v>
      </c>
      <c r="G97" s="3">
        <v>191</v>
      </c>
      <c r="H97" s="4">
        <v>185</v>
      </c>
      <c r="I97" s="5">
        <v>156</v>
      </c>
      <c r="J97" s="2">
        <f t="shared" si="2"/>
        <v>532</v>
      </c>
      <c r="K97" s="12"/>
      <c r="P97" s="6" t="s">
        <v>1377</v>
      </c>
    </row>
    <row r="98" ht="17" spans="1:16">
      <c r="A98" s="1" t="s">
        <v>1378</v>
      </c>
      <c r="B98" s="109"/>
      <c r="C98" s="2">
        <v>25</v>
      </c>
      <c r="D98" s="2">
        <v>25</v>
      </c>
      <c r="E98" s="2">
        <v>40</v>
      </c>
      <c r="F98" s="2">
        <v>5</v>
      </c>
      <c r="G98" s="3">
        <v>196</v>
      </c>
      <c r="H98" s="4">
        <v>183</v>
      </c>
      <c r="I98" s="5">
        <v>152</v>
      </c>
      <c r="J98" s="2">
        <f t="shared" si="2"/>
        <v>531</v>
      </c>
      <c r="K98" s="12"/>
      <c r="P98" s="6" t="s">
        <v>1379</v>
      </c>
    </row>
    <row r="99" ht="17" spans="1:16">
      <c r="A99" s="1" t="s">
        <v>1380</v>
      </c>
      <c r="B99" s="110"/>
      <c r="C99" s="2">
        <v>35</v>
      </c>
      <c r="D99" s="2">
        <v>25</v>
      </c>
      <c r="E99" s="2">
        <v>40</v>
      </c>
      <c r="F99" s="2">
        <v>0</v>
      </c>
      <c r="G99" s="3">
        <v>179</v>
      </c>
      <c r="H99" s="4">
        <v>181</v>
      </c>
      <c r="I99" s="5">
        <v>156</v>
      </c>
      <c r="J99" s="2">
        <f t="shared" si="2"/>
        <v>516</v>
      </c>
      <c r="K99" s="12" t="s">
        <v>60</v>
      </c>
      <c r="P99" s="6" t="s">
        <v>1381</v>
      </c>
    </row>
    <row r="100" ht="34" spans="1:16">
      <c r="A100" s="1" t="s">
        <v>1382</v>
      </c>
      <c r="B100" s="111"/>
      <c r="C100" s="2">
        <v>30</v>
      </c>
      <c r="D100" s="2">
        <v>35</v>
      </c>
      <c r="E100" s="2">
        <v>35</v>
      </c>
      <c r="F100" s="2">
        <v>0</v>
      </c>
      <c r="G100" s="3">
        <v>190</v>
      </c>
      <c r="H100" s="4">
        <v>168</v>
      </c>
      <c r="I100" s="5">
        <v>157</v>
      </c>
      <c r="J100" s="2">
        <f t="shared" si="2"/>
        <v>515</v>
      </c>
      <c r="K100" s="12"/>
      <c r="P100" s="6" t="s">
        <v>1383</v>
      </c>
    </row>
    <row r="101" ht="17" spans="1:16">
      <c r="A101" s="1" t="s">
        <v>1384</v>
      </c>
      <c r="B101" s="112"/>
      <c r="C101" s="2">
        <v>18</v>
      </c>
      <c r="D101" s="2">
        <v>29</v>
      </c>
      <c r="E101" s="2">
        <v>57</v>
      </c>
      <c r="F101" s="2">
        <v>0</v>
      </c>
      <c r="G101" s="3">
        <v>211</v>
      </c>
      <c r="H101" s="4">
        <v>177</v>
      </c>
      <c r="I101" s="5">
        <v>125</v>
      </c>
      <c r="J101" s="2">
        <f t="shared" si="2"/>
        <v>513</v>
      </c>
      <c r="M101" s="12"/>
      <c r="P101" s="6" t="s">
        <v>1385</v>
      </c>
    </row>
    <row r="102" ht="17" spans="1:16">
      <c r="A102" s="1" t="s">
        <v>1386</v>
      </c>
      <c r="B102" s="113"/>
      <c r="C102" s="2">
        <v>40</v>
      </c>
      <c r="D102" s="2">
        <v>24</v>
      </c>
      <c r="E102" s="2">
        <v>32</v>
      </c>
      <c r="F102" s="2">
        <v>6</v>
      </c>
      <c r="G102" s="3">
        <v>164</v>
      </c>
      <c r="H102" s="4">
        <v>172</v>
      </c>
      <c r="I102" s="5">
        <v>167</v>
      </c>
      <c r="J102" s="2">
        <f t="shared" si="2"/>
        <v>503</v>
      </c>
      <c r="L102" s="17"/>
    </row>
    <row r="103" ht="17" spans="1:16">
      <c r="A103" s="1" t="s">
        <v>1387</v>
      </c>
      <c r="B103" s="114"/>
      <c r="C103" s="2">
        <v>28</v>
      </c>
      <c r="D103" s="2">
        <v>26</v>
      </c>
      <c r="E103" s="2">
        <v>45</v>
      </c>
      <c r="F103" s="2">
        <v>7</v>
      </c>
      <c r="G103" s="3">
        <v>183</v>
      </c>
      <c r="H103" s="4">
        <v>174</v>
      </c>
      <c r="I103" s="5">
        <v>143</v>
      </c>
      <c r="J103" s="2">
        <f t="shared" si="2"/>
        <v>500</v>
      </c>
      <c r="L103" s="17"/>
      <c r="M103" s="2"/>
    </row>
    <row r="104" ht="17" spans="1:16">
      <c r="A104" s="1" t="s">
        <v>1388</v>
      </c>
      <c r="B104" s="115"/>
      <c r="C104" s="2">
        <v>45</v>
      </c>
      <c r="D104" s="2">
        <v>30</v>
      </c>
      <c r="E104" s="2">
        <v>25</v>
      </c>
      <c r="F104" s="2">
        <v>0</v>
      </c>
      <c r="G104" s="3">
        <v>154</v>
      </c>
      <c r="H104" s="4">
        <v>167</v>
      </c>
      <c r="I104" s="5">
        <v>177</v>
      </c>
      <c r="J104" s="2">
        <f t="shared" si="2"/>
        <v>498</v>
      </c>
      <c r="K104" s="12"/>
      <c r="P104" s="6" t="s">
        <v>1389</v>
      </c>
    </row>
    <row r="105" ht="34" spans="1:16">
      <c r="A105" s="1" t="s">
        <v>1390</v>
      </c>
      <c r="B105" s="116"/>
      <c r="C105" s="2">
        <v>40</v>
      </c>
      <c r="D105" s="2">
        <v>30</v>
      </c>
      <c r="E105" s="2">
        <v>35</v>
      </c>
      <c r="F105" s="2">
        <v>0</v>
      </c>
      <c r="G105" s="3">
        <v>167</v>
      </c>
      <c r="H105" s="4">
        <v>170</v>
      </c>
      <c r="I105" s="5">
        <v>161</v>
      </c>
      <c r="J105" s="2">
        <f t="shared" si="2"/>
        <v>498</v>
      </c>
      <c r="K105" s="12"/>
      <c r="P105" s="6" t="s">
        <v>1391</v>
      </c>
    </row>
    <row r="106" ht="51" spans="1:16">
      <c r="A106" s="1" t="s">
        <v>1392</v>
      </c>
      <c r="B106" s="117"/>
      <c r="C106" s="2">
        <v>30</v>
      </c>
      <c r="D106" s="2">
        <v>35</v>
      </c>
      <c r="E106" s="2">
        <v>45</v>
      </c>
      <c r="F106" s="2">
        <v>0</v>
      </c>
      <c r="G106" s="3">
        <v>190</v>
      </c>
      <c r="H106" s="4">
        <v>167</v>
      </c>
      <c r="I106" s="5">
        <v>139</v>
      </c>
      <c r="J106" s="2">
        <f t="shared" si="2"/>
        <v>496</v>
      </c>
      <c r="K106" s="12"/>
      <c r="P106" s="6" t="s">
        <v>1393</v>
      </c>
    </row>
    <row r="107" ht="17" spans="1:16">
      <c r="A107" s="1" t="s">
        <v>1394</v>
      </c>
      <c r="B107" s="118"/>
      <c r="C107" s="2">
        <v>28</v>
      </c>
      <c r="D107" s="2">
        <v>28</v>
      </c>
      <c r="E107" s="2">
        <v>41</v>
      </c>
      <c r="F107" s="2">
        <v>9</v>
      </c>
      <c r="G107" s="3">
        <v>180</v>
      </c>
      <c r="H107" s="4">
        <v>169</v>
      </c>
      <c r="I107" s="5">
        <v>146</v>
      </c>
      <c r="J107" s="2">
        <f t="shared" si="2"/>
        <v>495</v>
      </c>
      <c r="L107" s="17"/>
      <c r="M107" s="2"/>
    </row>
    <row r="108" ht="118" spans="1:16">
      <c r="A108" s="1" t="s">
        <v>1395</v>
      </c>
      <c r="B108" s="119"/>
      <c r="C108" s="2">
        <v>28</v>
      </c>
      <c r="D108" s="2">
        <v>27</v>
      </c>
      <c r="E108" s="2">
        <v>43</v>
      </c>
      <c r="F108" s="2">
        <v>8</v>
      </c>
      <c r="G108" s="3">
        <v>181</v>
      </c>
      <c r="H108" s="4">
        <v>170</v>
      </c>
      <c r="I108" s="5">
        <v>144</v>
      </c>
      <c r="J108" s="2">
        <f t="shared" si="2"/>
        <v>495</v>
      </c>
      <c r="L108" s="17"/>
      <c r="M108" s="2"/>
      <c r="N108" s="14"/>
      <c r="O108" s="28">
        <v>180180181</v>
      </c>
      <c r="P108" s="6" t="s">
        <v>1396</v>
      </c>
    </row>
    <row r="109" ht="17" spans="1:16">
      <c r="A109" s="1" t="s">
        <v>1397</v>
      </c>
      <c r="B109" s="120"/>
      <c r="C109" s="2">
        <v>26</v>
      </c>
      <c r="D109" s="2">
        <v>43</v>
      </c>
      <c r="E109" s="2">
        <v>26</v>
      </c>
      <c r="F109" s="2">
        <v>6</v>
      </c>
      <c r="G109" s="3">
        <v>181</v>
      </c>
      <c r="H109" s="4">
        <v>152</v>
      </c>
      <c r="I109" s="5">
        <v>161</v>
      </c>
      <c r="J109" s="2">
        <f t="shared" si="2"/>
        <v>494</v>
      </c>
      <c r="L109" s="17"/>
    </row>
    <row r="110" ht="17" spans="1:16">
      <c r="A110" s="1" t="s">
        <v>1398</v>
      </c>
      <c r="B110" s="121"/>
      <c r="C110" s="2">
        <v>40</v>
      </c>
      <c r="D110" s="2">
        <v>25</v>
      </c>
      <c r="E110" s="2">
        <v>45</v>
      </c>
      <c r="F110" s="2">
        <v>0</v>
      </c>
      <c r="G110" s="3">
        <v>168</v>
      </c>
      <c r="H110" s="4">
        <v>176</v>
      </c>
      <c r="I110" s="5">
        <v>146</v>
      </c>
      <c r="J110" s="2">
        <f t="shared" si="2"/>
        <v>490</v>
      </c>
      <c r="K110" s="12"/>
      <c r="P110" s="6" t="s">
        <v>1399</v>
      </c>
    </row>
    <row r="111" ht="17" spans="1:16">
      <c r="A111" s="1" t="s">
        <v>1400</v>
      </c>
      <c r="B111" s="122"/>
      <c r="C111" s="2">
        <v>23</v>
      </c>
      <c r="D111" s="2">
        <v>35</v>
      </c>
      <c r="E111" s="2">
        <v>38</v>
      </c>
      <c r="F111" s="2">
        <v>10</v>
      </c>
      <c r="G111" s="3">
        <v>183</v>
      </c>
      <c r="H111" s="4">
        <v>160</v>
      </c>
      <c r="I111" s="5">
        <v>145</v>
      </c>
      <c r="J111" s="2">
        <f t="shared" si="2"/>
        <v>488</v>
      </c>
      <c r="L111" s="17"/>
      <c r="M111" s="2"/>
    </row>
    <row r="112" ht="34" spans="1:16">
      <c r="A112" s="1" t="s">
        <v>1401</v>
      </c>
      <c r="B112" s="123"/>
      <c r="C112" s="2">
        <v>30</v>
      </c>
      <c r="D112" s="2">
        <v>35</v>
      </c>
      <c r="E112" s="2">
        <v>50</v>
      </c>
      <c r="F112" s="2">
        <v>0</v>
      </c>
      <c r="G112" s="3">
        <v>191</v>
      </c>
      <c r="H112" s="4">
        <v>167</v>
      </c>
      <c r="I112" s="5">
        <v>130</v>
      </c>
      <c r="J112" s="2">
        <f t="shared" si="2"/>
        <v>488</v>
      </c>
      <c r="K112" s="12"/>
      <c r="P112" s="6" t="s">
        <v>1402</v>
      </c>
    </row>
    <row r="113" ht="34" spans="1:16">
      <c r="A113" s="1" t="s">
        <v>1403</v>
      </c>
      <c r="B113" s="124"/>
      <c r="C113" s="2">
        <v>20</v>
      </c>
      <c r="D113" s="2">
        <v>30</v>
      </c>
      <c r="E113" s="2">
        <v>70</v>
      </c>
      <c r="F113" s="2">
        <v>0</v>
      </c>
      <c r="G113" s="3">
        <v>213</v>
      </c>
      <c r="H113" s="4">
        <v>180</v>
      </c>
      <c r="I113" s="5">
        <v>92</v>
      </c>
      <c r="J113" s="2">
        <f t="shared" si="2"/>
        <v>485</v>
      </c>
      <c r="K113" s="12"/>
      <c r="P113" s="6" t="s">
        <v>1404</v>
      </c>
    </row>
    <row r="114" ht="17" spans="1:16">
      <c r="A114" s="1" t="s">
        <v>1405</v>
      </c>
      <c r="B114" s="125"/>
      <c r="C114" s="2">
        <v>40</v>
      </c>
      <c r="D114" s="2">
        <v>35</v>
      </c>
      <c r="E114" s="2">
        <v>35</v>
      </c>
      <c r="F114" s="2">
        <v>0</v>
      </c>
      <c r="G114" s="3">
        <v>168</v>
      </c>
      <c r="H114" s="4">
        <v>161</v>
      </c>
      <c r="I114" s="5">
        <v>156</v>
      </c>
      <c r="J114" s="2">
        <f t="shared" si="2"/>
        <v>485</v>
      </c>
      <c r="K114" s="12"/>
      <c r="P114" s="6" t="s">
        <v>1406</v>
      </c>
    </row>
    <row r="115" ht="168" spans="1:16">
      <c r="A115" s="1" t="s">
        <v>1407</v>
      </c>
      <c r="B115" s="126"/>
      <c r="C115" s="2">
        <v>0</v>
      </c>
      <c r="D115" s="2">
        <v>0</v>
      </c>
      <c r="E115" s="2">
        <v>0</v>
      </c>
      <c r="F115" s="2">
        <v>50</v>
      </c>
      <c r="G115" s="3">
        <v>159</v>
      </c>
      <c r="H115" s="4">
        <v>160</v>
      </c>
      <c r="I115" s="5">
        <v>160</v>
      </c>
      <c r="J115" s="2">
        <f t="shared" si="2"/>
        <v>479</v>
      </c>
      <c r="M115" s="19">
        <v>128128128</v>
      </c>
      <c r="O115" s="9"/>
      <c r="P115" s="6" t="s">
        <v>1408</v>
      </c>
    </row>
    <row r="116" ht="17" spans="1:16">
      <c r="A116" s="1" t="s">
        <v>1409</v>
      </c>
      <c r="B116" s="127"/>
      <c r="C116" s="2">
        <v>40</v>
      </c>
      <c r="D116" s="2">
        <v>27</v>
      </c>
      <c r="E116" s="2">
        <v>36</v>
      </c>
      <c r="F116" s="2">
        <v>8</v>
      </c>
      <c r="G116" s="3">
        <v>159</v>
      </c>
      <c r="H116" s="4">
        <v>163</v>
      </c>
      <c r="I116" s="5">
        <v>154</v>
      </c>
      <c r="J116" s="2">
        <f t="shared" si="2"/>
        <v>476</v>
      </c>
      <c r="L116" s="17"/>
    </row>
    <row r="117" ht="34" spans="1:16">
      <c r="A117" s="1" t="s">
        <v>1410</v>
      </c>
      <c r="B117" s="128"/>
      <c r="C117" s="2">
        <v>30</v>
      </c>
      <c r="D117" s="2">
        <v>45</v>
      </c>
      <c r="E117" s="2">
        <v>45</v>
      </c>
      <c r="F117" s="2">
        <v>0</v>
      </c>
      <c r="G117" s="3">
        <v>189</v>
      </c>
      <c r="H117" s="4">
        <v>150</v>
      </c>
      <c r="I117" s="5">
        <v>131</v>
      </c>
      <c r="J117" s="2">
        <f t="shared" si="2"/>
        <v>470</v>
      </c>
      <c r="K117" s="12"/>
      <c r="P117" s="6" t="s">
        <v>1411</v>
      </c>
    </row>
    <row r="118" ht="17" spans="1:16">
      <c r="A118" s="1" t="s">
        <v>1412</v>
      </c>
      <c r="B118" s="129"/>
      <c r="C118" s="2">
        <v>40</v>
      </c>
      <c r="D118" s="2">
        <v>30</v>
      </c>
      <c r="E118" s="2">
        <v>50</v>
      </c>
      <c r="F118" s="2">
        <v>0</v>
      </c>
      <c r="G118" s="3">
        <v>169</v>
      </c>
      <c r="H118" s="4">
        <v>168</v>
      </c>
      <c r="I118" s="5">
        <v>134</v>
      </c>
      <c r="J118" s="2">
        <f t="shared" si="2"/>
        <v>471</v>
      </c>
      <c r="K118" s="12" t="s">
        <v>60</v>
      </c>
      <c r="P118" s="6" t="s">
        <v>1413</v>
      </c>
    </row>
    <row r="119" ht="17" spans="1:16">
      <c r="A119" s="1" t="s">
        <v>1414</v>
      </c>
      <c r="B119" s="130"/>
      <c r="C119" s="2">
        <v>30</v>
      </c>
      <c r="D119" s="2">
        <v>35</v>
      </c>
      <c r="E119" s="2">
        <v>60</v>
      </c>
      <c r="F119" s="2">
        <v>0</v>
      </c>
      <c r="G119" s="3">
        <v>191</v>
      </c>
      <c r="H119" s="4">
        <v>166</v>
      </c>
      <c r="I119" s="5">
        <v>112</v>
      </c>
      <c r="J119" s="2">
        <f t="shared" si="2"/>
        <v>469</v>
      </c>
      <c r="K119" s="12"/>
      <c r="P119" s="6" t="s">
        <v>1415</v>
      </c>
    </row>
    <row r="120" ht="17" spans="1:16">
      <c r="A120" s="1" t="s">
        <v>1416</v>
      </c>
      <c r="B120" s="131"/>
      <c r="C120" s="2">
        <v>30</v>
      </c>
      <c r="D120" s="2">
        <v>30</v>
      </c>
      <c r="E120" s="2">
        <v>40</v>
      </c>
      <c r="F120" s="2">
        <v>15</v>
      </c>
      <c r="G120" s="3">
        <v>172</v>
      </c>
      <c r="H120" s="4">
        <v>159</v>
      </c>
      <c r="I120" s="5">
        <v>138</v>
      </c>
      <c r="J120" s="2">
        <f t="shared" si="2"/>
        <v>469</v>
      </c>
      <c r="K120" s="12"/>
      <c r="P120" s="6" t="s">
        <v>1417</v>
      </c>
    </row>
    <row r="121" ht="17" spans="1:16">
      <c r="A121" s="1" t="s">
        <v>1418</v>
      </c>
      <c r="B121" s="132"/>
      <c r="C121" s="2">
        <v>21</v>
      </c>
      <c r="D121" s="2">
        <v>43</v>
      </c>
      <c r="E121" s="2">
        <v>43</v>
      </c>
      <c r="F121" s="2">
        <v>9</v>
      </c>
      <c r="G121" s="3">
        <v>184</v>
      </c>
      <c r="H121" s="4">
        <v>148</v>
      </c>
      <c r="I121" s="5">
        <v>133</v>
      </c>
      <c r="J121" s="2">
        <f t="shared" si="2"/>
        <v>465</v>
      </c>
      <c r="L121" s="17"/>
      <c r="M121" s="2"/>
    </row>
    <row r="122" ht="17" spans="1:16">
      <c r="A122" s="1" t="s">
        <v>1419</v>
      </c>
      <c r="B122" s="133"/>
      <c r="C122" s="2">
        <v>35</v>
      </c>
      <c r="D122" s="2">
        <v>35</v>
      </c>
      <c r="E122" s="2">
        <v>55</v>
      </c>
      <c r="F122" s="2">
        <v>0</v>
      </c>
      <c r="G122" s="3">
        <v>180</v>
      </c>
      <c r="H122" s="4">
        <v>163</v>
      </c>
      <c r="I122" s="5">
        <v>121</v>
      </c>
      <c r="J122" s="2">
        <f t="shared" si="2"/>
        <v>464</v>
      </c>
      <c r="K122" s="12"/>
      <c r="P122" s="6" t="s">
        <v>1420</v>
      </c>
    </row>
    <row r="123" ht="17" spans="1:16">
      <c r="A123" s="1" t="s">
        <v>1421</v>
      </c>
      <c r="B123" s="134"/>
      <c r="C123" s="2">
        <v>26</v>
      </c>
      <c r="D123" s="2">
        <v>31</v>
      </c>
      <c r="E123" s="2">
        <v>57</v>
      </c>
      <c r="F123" s="2">
        <v>10</v>
      </c>
      <c r="G123" s="3">
        <v>182</v>
      </c>
      <c r="H123" s="4">
        <v>164</v>
      </c>
      <c r="I123" s="5">
        <v>118</v>
      </c>
      <c r="J123" s="2">
        <f t="shared" si="2"/>
        <v>464</v>
      </c>
      <c r="L123" s="17"/>
      <c r="M123" s="2"/>
    </row>
    <row r="124" ht="17" spans="1:16">
      <c r="A124" s="1" t="s">
        <v>1422</v>
      </c>
      <c r="B124" s="135"/>
      <c r="C124" s="2">
        <v>20</v>
      </c>
      <c r="D124" s="2">
        <v>35</v>
      </c>
      <c r="E124" s="2">
        <v>60</v>
      </c>
      <c r="F124" s="2">
        <v>10</v>
      </c>
      <c r="G124" s="3">
        <v>198</v>
      </c>
      <c r="H124" s="4">
        <v>162</v>
      </c>
      <c r="I124" s="5">
        <v>104</v>
      </c>
      <c r="J124" s="2">
        <f t="shared" si="2"/>
        <v>464</v>
      </c>
      <c r="K124" s="12" t="s">
        <v>1423</v>
      </c>
      <c r="P124" s="6" t="s">
        <v>1424</v>
      </c>
    </row>
    <row r="125" ht="17" spans="1:16">
      <c r="A125" s="1" t="s">
        <v>1425</v>
      </c>
      <c r="B125" s="136"/>
      <c r="C125" s="2">
        <v>35</v>
      </c>
      <c r="D125" s="2">
        <v>40</v>
      </c>
      <c r="E125" s="2">
        <v>50</v>
      </c>
      <c r="F125" s="2">
        <v>0</v>
      </c>
      <c r="G125" s="3">
        <v>180</v>
      </c>
      <c r="H125" s="4">
        <v>155</v>
      </c>
      <c r="I125" s="5">
        <v>127</v>
      </c>
      <c r="J125" s="2">
        <f t="shared" si="2"/>
        <v>462</v>
      </c>
      <c r="K125" s="12"/>
      <c r="P125" s="6" t="s">
        <v>1426</v>
      </c>
    </row>
    <row r="126" ht="34" spans="1:16">
      <c r="A126" s="1" t="s">
        <v>1427</v>
      </c>
      <c r="B126" s="137"/>
      <c r="C126" s="2">
        <v>40</v>
      </c>
      <c r="D126" s="2">
        <v>35</v>
      </c>
      <c r="E126" s="2">
        <v>50</v>
      </c>
      <c r="F126" s="2">
        <v>0</v>
      </c>
      <c r="G126" s="3">
        <v>169</v>
      </c>
      <c r="H126" s="4">
        <v>160</v>
      </c>
      <c r="I126" s="5">
        <v>130</v>
      </c>
      <c r="J126" s="2">
        <f t="shared" si="2"/>
        <v>459</v>
      </c>
      <c r="K126" s="12"/>
      <c r="P126" s="6" t="s">
        <v>1428</v>
      </c>
    </row>
    <row r="127" ht="34" spans="1:16">
      <c r="A127" s="1" t="s">
        <v>1429</v>
      </c>
      <c r="B127" s="138"/>
      <c r="C127" s="2">
        <v>30</v>
      </c>
      <c r="D127" s="2">
        <v>30</v>
      </c>
      <c r="E127" s="2">
        <v>70</v>
      </c>
      <c r="F127" s="2">
        <v>0</v>
      </c>
      <c r="G127" s="3">
        <v>192</v>
      </c>
      <c r="H127" s="4">
        <v>173</v>
      </c>
      <c r="I127" s="5">
        <v>94</v>
      </c>
      <c r="J127" s="2">
        <f t="shared" si="2"/>
        <v>459</v>
      </c>
      <c r="K127" s="12"/>
      <c r="P127" s="6" t="s">
        <v>1430</v>
      </c>
    </row>
    <row r="128" ht="17" spans="1:16">
      <c r="A128" s="1" t="s">
        <v>1431</v>
      </c>
      <c r="B128" s="139"/>
      <c r="C128" s="2">
        <v>45</v>
      </c>
      <c r="D128" s="2">
        <v>45</v>
      </c>
      <c r="E128" s="2">
        <v>30</v>
      </c>
      <c r="F128" s="2">
        <v>0</v>
      </c>
      <c r="G128" s="3">
        <v>156</v>
      </c>
      <c r="H128" s="4">
        <v>141</v>
      </c>
      <c r="I128" s="5">
        <v>155</v>
      </c>
      <c r="J128" s="2">
        <f t="shared" si="2"/>
        <v>452</v>
      </c>
      <c r="K128" s="12"/>
      <c r="P128" s="6" t="s">
        <v>1432</v>
      </c>
    </row>
    <row r="129" ht="17" spans="1:16">
      <c r="A129" s="1" t="s">
        <v>1433</v>
      </c>
      <c r="B129" s="140"/>
      <c r="C129" s="2">
        <v>40</v>
      </c>
      <c r="D129" s="2">
        <v>30</v>
      </c>
      <c r="E129" s="2">
        <v>60</v>
      </c>
      <c r="F129" s="2">
        <v>0</v>
      </c>
      <c r="G129" s="3">
        <v>169</v>
      </c>
      <c r="H129" s="4">
        <v>167</v>
      </c>
      <c r="I129" s="5">
        <v>115</v>
      </c>
      <c r="J129" s="2">
        <f t="shared" si="2"/>
        <v>451</v>
      </c>
      <c r="K129" s="12"/>
      <c r="P129" s="6" t="s">
        <v>1434</v>
      </c>
    </row>
    <row r="130" ht="17" spans="1:16">
      <c r="A130" s="1" t="s">
        <v>1435</v>
      </c>
      <c r="B130" s="141"/>
      <c r="C130" s="2">
        <v>7</v>
      </c>
      <c r="D130" s="2">
        <v>52</v>
      </c>
      <c r="E130" s="2">
        <v>71</v>
      </c>
      <c r="F130" s="2">
        <v>1</v>
      </c>
      <c r="G130" s="3">
        <v>217</v>
      </c>
      <c r="H130" s="4">
        <v>145</v>
      </c>
      <c r="I130" s="5">
        <v>86</v>
      </c>
      <c r="J130" s="2">
        <f t="shared" si="2"/>
        <v>448</v>
      </c>
      <c r="L130" s="17"/>
      <c r="M130" s="2"/>
    </row>
    <row r="131" ht="17" spans="1:16">
      <c r="A131" s="1" t="s">
        <v>1436</v>
      </c>
      <c r="B131" s="142"/>
      <c r="C131" s="2">
        <v>45</v>
      </c>
      <c r="D131" s="2">
        <v>35</v>
      </c>
      <c r="E131" s="2">
        <v>50</v>
      </c>
      <c r="F131" s="2">
        <v>0</v>
      </c>
      <c r="G131" s="3">
        <v>157</v>
      </c>
      <c r="H131" s="4">
        <v>157</v>
      </c>
      <c r="I131" s="5">
        <v>130</v>
      </c>
      <c r="J131" s="2">
        <f t="shared" si="2"/>
        <v>444</v>
      </c>
      <c r="K131" s="12" t="s">
        <v>60</v>
      </c>
      <c r="P131" s="6" t="s">
        <v>1437</v>
      </c>
    </row>
    <row r="132" ht="17" spans="1:16">
      <c r="A132" s="1" t="s">
        <v>1438</v>
      </c>
      <c r="B132" s="143"/>
      <c r="C132" s="2">
        <v>38</v>
      </c>
      <c r="D132" s="2">
        <v>33</v>
      </c>
      <c r="E132" s="2">
        <v>55</v>
      </c>
      <c r="F132" s="2">
        <v>3</v>
      </c>
      <c r="G132" s="3">
        <v>162</v>
      </c>
      <c r="H132" s="4">
        <v>155</v>
      </c>
      <c r="I132" s="5">
        <v>124</v>
      </c>
      <c r="J132" s="2">
        <f t="shared" si="2"/>
        <v>441</v>
      </c>
      <c r="M132" s="12"/>
    </row>
    <row r="133" ht="34" spans="1:16">
      <c r="A133" s="1" t="s">
        <v>1439</v>
      </c>
      <c r="B133" s="144"/>
      <c r="C133" s="2">
        <v>35</v>
      </c>
      <c r="D133" s="2">
        <v>45</v>
      </c>
      <c r="E133" s="2">
        <v>55</v>
      </c>
      <c r="F133" s="2">
        <v>0</v>
      </c>
      <c r="G133" s="3">
        <v>180</v>
      </c>
      <c r="H133" s="4">
        <v>146</v>
      </c>
      <c r="I133" s="5">
        <v>115</v>
      </c>
      <c r="J133" s="2">
        <f t="shared" si="2"/>
        <v>441</v>
      </c>
      <c r="K133" s="12"/>
      <c r="P133" s="6" t="s">
        <v>1440</v>
      </c>
    </row>
    <row r="134" ht="34" spans="1:16">
      <c r="A134" s="1" t="s">
        <v>1441</v>
      </c>
      <c r="B134" s="145"/>
      <c r="C134" s="2">
        <v>40</v>
      </c>
      <c r="D134" s="2">
        <v>35</v>
      </c>
      <c r="E134" s="2">
        <v>60</v>
      </c>
      <c r="F134" s="2">
        <v>0</v>
      </c>
      <c r="G134" s="3">
        <v>169</v>
      </c>
      <c r="H134" s="4">
        <v>159</v>
      </c>
      <c r="I134" s="5">
        <v>112</v>
      </c>
      <c r="J134" s="2">
        <f t="shared" si="2"/>
        <v>440</v>
      </c>
      <c r="K134" s="12" t="s">
        <v>60</v>
      </c>
      <c r="P134" s="6" t="s">
        <v>1442</v>
      </c>
    </row>
    <row r="135" ht="34" spans="1:16">
      <c r="A135" s="1" t="s">
        <v>1443</v>
      </c>
      <c r="B135" s="146"/>
      <c r="C135" s="2">
        <v>40</v>
      </c>
      <c r="D135" s="2">
        <v>50</v>
      </c>
      <c r="E135" s="2">
        <v>40</v>
      </c>
      <c r="F135" s="2">
        <v>0</v>
      </c>
      <c r="G135" s="3">
        <v>168</v>
      </c>
      <c r="H135" s="4">
        <v>135</v>
      </c>
      <c r="I135" s="5">
        <v>135</v>
      </c>
      <c r="J135" s="2">
        <f t="shared" si="2"/>
        <v>438</v>
      </c>
      <c r="K135" s="12"/>
      <c r="P135" s="6" t="s">
        <v>1444</v>
      </c>
    </row>
    <row r="136" ht="34" spans="1:16">
      <c r="A136" s="1" t="s">
        <v>1445</v>
      </c>
      <c r="B136" s="147"/>
      <c r="C136" s="2">
        <v>20</v>
      </c>
      <c r="D136" s="2">
        <v>65</v>
      </c>
      <c r="E136" s="2">
        <v>45</v>
      </c>
      <c r="F136" s="2">
        <v>0</v>
      </c>
      <c r="G136" s="3">
        <v>205</v>
      </c>
      <c r="H136" s="4">
        <v>115</v>
      </c>
      <c r="I136" s="5">
        <v>114</v>
      </c>
      <c r="J136" s="2">
        <f t="shared" si="2"/>
        <v>434</v>
      </c>
      <c r="K136" s="12"/>
      <c r="P136" s="6" t="s">
        <v>1446</v>
      </c>
    </row>
    <row r="137" ht="17" spans="1:16">
      <c r="A137" s="1" t="s">
        <v>366</v>
      </c>
      <c r="B137" s="148"/>
      <c r="C137" s="2">
        <v>45</v>
      </c>
      <c r="D137" s="2">
        <v>50</v>
      </c>
      <c r="E137" s="2">
        <v>35</v>
      </c>
      <c r="F137" s="2">
        <v>0</v>
      </c>
      <c r="G137" s="3">
        <v>157</v>
      </c>
      <c r="H137" s="4">
        <v>133</v>
      </c>
      <c r="I137" s="5">
        <v>143</v>
      </c>
      <c r="J137" s="2">
        <f t="shared" si="2"/>
        <v>433</v>
      </c>
      <c r="K137" s="12"/>
      <c r="P137" s="6" t="s">
        <v>1447</v>
      </c>
    </row>
    <row r="138" ht="17" spans="1:16">
      <c r="A138" s="1" t="s">
        <v>1448</v>
      </c>
      <c r="B138" s="149"/>
      <c r="C138" s="2">
        <v>52</v>
      </c>
      <c r="D138" s="2">
        <v>28</v>
      </c>
      <c r="E138" s="2">
        <v>42</v>
      </c>
      <c r="F138" s="2">
        <v>10</v>
      </c>
      <c r="G138" s="3">
        <v>138</v>
      </c>
      <c r="H138" s="4">
        <v>152</v>
      </c>
      <c r="I138" s="5">
        <v>142</v>
      </c>
      <c r="J138" s="2">
        <f t="shared" si="2"/>
        <v>432</v>
      </c>
      <c r="L138" s="17"/>
    </row>
    <row r="139" ht="34" spans="1:16">
      <c r="A139" s="1" t="s">
        <v>1449</v>
      </c>
      <c r="B139" s="150"/>
      <c r="C139" s="2">
        <v>55</v>
      </c>
      <c r="D139" s="2">
        <v>35</v>
      </c>
      <c r="E139" s="2">
        <v>30</v>
      </c>
      <c r="F139" s="2">
        <v>5</v>
      </c>
      <c r="G139" s="3">
        <v>125</v>
      </c>
      <c r="H139" s="4">
        <v>146</v>
      </c>
      <c r="I139" s="5">
        <v>159</v>
      </c>
      <c r="J139" s="2">
        <f t="shared" ref="J139:J202" si="3">G139+H139+I139</f>
        <v>430</v>
      </c>
      <c r="K139" s="12"/>
      <c r="P139" s="6" t="s">
        <v>1450</v>
      </c>
    </row>
    <row r="140" ht="51" spans="1:16">
      <c r="A140" s="1" t="s">
        <v>1451</v>
      </c>
      <c r="B140" s="151"/>
      <c r="C140" s="2">
        <v>30</v>
      </c>
      <c r="D140" s="2">
        <v>55</v>
      </c>
      <c r="E140" s="2">
        <v>55</v>
      </c>
      <c r="F140" s="2">
        <v>0</v>
      </c>
      <c r="G140" s="3">
        <v>188</v>
      </c>
      <c r="H140" s="4">
        <v>131</v>
      </c>
      <c r="I140" s="5">
        <v>107</v>
      </c>
      <c r="J140" s="2">
        <f t="shared" si="3"/>
        <v>426</v>
      </c>
      <c r="K140" s="12"/>
      <c r="P140" s="6" t="s">
        <v>1452</v>
      </c>
    </row>
    <row r="141" ht="17" spans="1:16">
      <c r="A141" s="1" t="s">
        <v>1453</v>
      </c>
      <c r="B141" s="152"/>
      <c r="C141" s="2">
        <v>22</v>
      </c>
      <c r="D141" s="2">
        <v>38</v>
      </c>
      <c r="E141" s="2">
        <v>90</v>
      </c>
      <c r="F141" s="2">
        <v>2</v>
      </c>
      <c r="G141" s="3">
        <v>200</v>
      </c>
      <c r="H141" s="4">
        <v>155</v>
      </c>
      <c r="I141" s="5">
        <v>64</v>
      </c>
      <c r="J141" s="2">
        <f t="shared" si="3"/>
        <v>419</v>
      </c>
      <c r="M141" s="12"/>
      <c r="P141" s="6" t="s">
        <v>1454</v>
      </c>
    </row>
    <row r="142" ht="34" spans="1:16">
      <c r="A142" s="1" t="s">
        <v>1455</v>
      </c>
      <c r="B142" s="153"/>
      <c r="C142" s="2">
        <v>50</v>
      </c>
      <c r="D142" s="2">
        <v>50</v>
      </c>
      <c r="E142" s="2">
        <v>35</v>
      </c>
      <c r="F142" s="2">
        <v>0</v>
      </c>
      <c r="G142" s="3">
        <v>145</v>
      </c>
      <c r="H142" s="4">
        <v>130</v>
      </c>
      <c r="I142" s="5">
        <v>143</v>
      </c>
      <c r="J142" s="2">
        <f t="shared" si="3"/>
        <v>418</v>
      </c>
      <c r="K142" s="12"/>
      <c r="P142" s="6" t="s">
        <v>1456</v>
      </c>
    </row>
    <row r="143" ht="84" spans="1:16">
      <c r="A143" s="1" t="s">
        <v>1457</v>
      </c>
      <c r="B143" s="154"/>
      <c r="C143" s="2">
        <v>30</v>
      </c>
      <c r="D143" s="2">
        <v>40</v>
      </c>
      <c r="E143" s="2">
        <v>800</v>
      </c>
      <c r="F143" s="2">
        <v>0</v>
      </c>
      <c r="G143" s="3">
        <v>191</v>
      </c>
      <c r="H143" s="4">
        <v>156</v>
      </c>
      <c r="I143" s="5">
        <v>70</v>
      </c>
      <c r="J143" s="2">
        <f t="shared" si="3"/>
        <v>417</v>
      </c>
      <c r="K143" s="12" t="s">
        <v>60</v>
      </c>
      <c r="M143" s="12" t="s">
        <v>1458</v>
      </c>
      <c r="N143" s="14"/>
      <c r="P143" s="6" t="s">
        <v>1459</v>
      </c>
    </row>
    <row r="144" ht="34" spans="1:16">
      <c r="A144" s="1" t="s">
        <v>1460</v>
      </c>
      <c r="B144" s="155"/>
      <c r="C144" s="2">
        <v>35</v>
      </c>
      <c r="D144" s="2">
        <v>60</v>
      </c>
      <c r="E144" s="2">
        <v>45</v>
      </c>
      <c r="F144" s="2">
        <v>0</v>
      </c>
      <c r="G144" s="3">
        <v>178</v>
      </c>
      <c r="H144" s="4">
        <v>119</v>
      </c>
      <c r="I144" s="5">
        <v>119</v>
      </c>
      <c r="J144" s="2">
        <f t="shared" si="3"/>
        <v>416</v>
      </c>
      <c r="K144" s="12"/>
      <c r="P144" s="6" t="s">
        <v>1461</v>
      </c>
    </row>
    <row r="145" ht="17" spans="1:16">
      <c r="A145" s="1" t="s">
        <v>1462</v>
      </c>
      <c r="B145" s="156"/>
      <c r="C145" s="2">
        <v>50</v>
      </c>
      <c r="D145" s="2">
        <v>35</v>
      </c>
      <c r="E145" s="2">
        <v>40</v>
      </c>
      <c r="F145" s="2">
        <v>10</v>
      </c>
      <c r="G145" s="3">
        <v>134</v>
      </c>
      <c r="H145" s="4">
        <v>144</v>
      </c>
      <c r="I145" s="5">
        <v>138</v>
      </c>
      <c r="J145" s="2">
        <f t="shared" si="3"/>
        <v>416</v>
      </c>
      <c r="K145" s="12"/>
      <c r="P145" s="6" t="s">
        <v>1463</v>
      </c>
    </row>
    <row r="146" ht="17" spans="1:16">
      <c r="A146" s="1" t="s">
        <v>1464</v>
      </c>
      <c r="B146" s="157"/>
      <c r="C146" s="2">
        <v>33</v>
      </c>
      <c r="D146" s="2">
        <v>49</v>
      </c>
      <c r="E146" s="2">
        <v>50</v>
      </c>
      <c r="F146" s="2">
        <v>5</v>
      </c>
      <c r="G146" s="3">
        <v>169</v>
      </c>
      <c r="H146" s="4">
        <v>129</v>
      </c>
      <c r="I146" s="5">
        <v>117</v>
      </c>
      <c r="J146" s="2">
        <f t="shared" si="3"/>
        <v>415</v>
      </c>
      <c r="M146" s="12"/>
      <c r="P146" s="6" t="s">
        <v>1465</v>
      </c>
    </row>
    <row r="147" ht="17" spans="1:16">
      <c r="A147" s="1" t="s">
        <v>1466</v>
      </c>
      <c r="B147" s="158"/>
      <c r="C147" s="2">
        <v>42</v>
      </c>
      <c r="D147" s="2">
        <v>40</v>
      </c>
      <c r="E147" s="2">
        <v>46</v>
      </c>
      <c r="F147" s="2">
        <v>20</v>
      </c>
      <c r="G147" s="3">
        <v>154</v>
      </c>
      <c r="H147" s="4">
        <v>136</v>
      </c>
      <c r="I147" s="5">
        <v>120</v>
      </c>
      <c r="J147" s="2">
        <f t="shared" si="3"/>
        <v>410</v>
      </c>
      <c r="L147" s="17"/>
      <c r="M147" s="2"/>
    </row>
    <row r="148" ht="17" spans="1:16">
      <c r="A148" s="1" t="s">
        <v>1467</v>
      </c>
      <c r="B148" s="159"/>
      <c r="C148" s="2">
        <v>50</v>
      </c>
      <c r="D148" s="2">
        <v>50</v>
      </c>
      <c r="E148" s="2">
        <v>40</v>
      </c>
      <c r="F148" s="2">
        <v>0</v>
      </c>
      <c r="G148" s="3">
        <v>146</v>
      </c>
      <c r="H148" s="4">
        <v>129</v>
      </c>
      <c r="I148" s="5">
        <v>135</v>
      </c>
      <c r="J148" s="2">
        <f t="shared" si="3"/>
        <v>410</v>
      </c>
      <c r="K148" s="12"/>
      <c r="P148" s="6" t="s">
        <v>1468</v>
      </c>
    </row>
    <row r="149" ht="34" spans="1:16">
      <c r="A149" s="1" t="s">
        <v>1469</v>
      </c>
      <c r="B149" s="160"/>
      <c r="C149" s="2">
        <v>50</v>
      </c>
      <c r="D149" s="2">
        <v>40</v>
      </c>
      <c r="E149" s="2">
        <v>55</v>
      </c>
      <c r="F149" s="2">
        <v>0</v>
      </c>
      <c r="G149" s="3">
        <v>145</v>
      </c>
      <c r="H149" s="4">
        <v>145</v>
      </c>
      <c r="I149" s="5">
        <v>119</v>
      </c>
      <c r="J149" s="2">
        <f t="shared" si="3"/>
        <v>409</v>
      </c>
      <c r="K149" s="12"/>
      <c r="P149" s="6" t="s">
        <v>1470</v>
      </c>
    </row>
    <row r="150" ht="17" spans="1:16">
      <c r="A150" s="1" t="s">
        <v>1471</v>
      </c>
      <c r="B150" s="161"/>
      <c r="C150" s="2">
        <v>58</v>
      </c>
      <c r="D150" s="2">
        <v>39</v>
      </c>
      <c r="E150" s="2">
        <v>31</v>
      </c>
      <c r="F150" s="2">
        <v>2</v>
      </c>
      <c r="G150" s="3">
        <v>117</v>
      </c>
      <c r="H150" s="4">
        <v>138</v>
      </c>
      <c r="I150" s="5">
        <v>153</v>
      </c>
      <c r="J150" s="2">
        <f t="shared" si="3"/>
        <v>408</v>
      </c>
      <c r="M150" s="12"/>
      <c r="P150" s="6" t="s">
        <v>1472</v>
      </c>
    </row>
    <row r="151" ht="17" spans="1:16">
      <c r="A151" s="1" t="s">
        <v>1473</v>
      </c>
      <c r="B151" s="162"/>
      <c r="C151" s="2">
        <v>50</v>
      </c>
      <c r="D151" s="2">
        <v>45</v>
      </c>
      <c r="E151" s="2">
        <v>50</v>
      </c>
      <c r="F151" s="2">
        <v>0</v>
      </c>
      <c r="G151" s="3">
        <v>146</v>
      </c>
      <c r="H151" s="4">
        <v>137</v>
      </c>
      <c r="I151" s="5">
        <v>123</v>
      </c>
      <c r="J151" s="2">
        <f t="shared" si="3"/>
        <v>406</v>
      </c>
      <c r="K151" s="12" t="s">
        <v>60</v>
      </c>
      <c r="P151" s="6" t="s">
        <v>1474</v>
      </c>
    </row>
    <row r="152" ht="34" spans="1:16">
      <c r="A152" s="1" t="s">
        <v>1475</v>
      </c>
      <c r="B152" s="163"/>
      <c r="C152" s="2">
        <v>45</v>
      </c>
      <c r="D152" s="2">
        <v>45</v>
      </c>
      <c r="E152" s="2">
        <v>60</v>
      </c>
      <c r="F152" s="2">
        <v>0</v>
      </c>
      <c r="G152" s="3">
        <v>158</v>
      </c>
      <c r="H152" s="4">
        <v>140</v>
      </c>
      <c r="I152" s="5">
        <v>107</v>
      </c>
      <c r="J152" s="2">
        <f t="shared" si="3"/>
        <v>405</v>
      </c>
      <c r="K152" s="12"/>
      <c r="P152" s="6" t="s">
        <v>1476</v>
      </c>
    </row>
    <row r="153" ht="34" spans="1:16">
      <c r="A153" s="1" t="s">
        <v>1477</v>
      </c>
      <c r="B153" s="164"/>
      <c r="C153" s="2">
        <v>30</v>
      </c>
      <c r="D153" s="2">
        <v>55</v>
      </c>
      <c r="E153" s="2">
        <v>70</v>
      </c>
      <c r="F153" s="2">
        <v>0</v>
      </c>
      <c r="G153" s="3">
        <v>189</v>
      </c>
      <c r="H153" s="4">
        <v>130</v>
      </c>
      <c r="I153" s="5">
        <v>83</v>
      </c>
      <c r="J153" s="2">
        <f t="shared" si="3"/>
        <v>402</v>
      </c>
      <c r="K153" s="12" t="s">
        <v>60</v>
      </c>
      <c r="P153" s="6" t="s">
        <v>1478</v>
      </c>
    </row>
    <row r="154" ht="17" spans="1:16">
      <c r="A154" s="1" t="s">
        <v>1479</v>
      </c>
      <c r="B154" s="165"/>
      <c r="C154" s="2">
        <v>40</v>
      </c>
      <c r="D154" s="2">
        <v>45</v>
      </c>
      <c r="E154" s="2">
        <v>70</v>
      </c>
      <c r="F154" s="2">
        <v>0</v>
      </c>
      <c r="G154" s="3">
        <v>170</v>
      </c>
      <c r="H154" s="4">
        <v>142</v>
      </c>
      <c r="I154" s="5">
        <v>89</v>
      </c>
      <c r="J154" s="2">
        <f t="shared" si="3"/>
        <v>401</v>
      </c>
      <c r="K154" s="12"/>
      <c r="P154" s="6" t="s">
        <v>1480</v>
      </c>
    </row>
    <row r="155" ht="84" spans="1:16">
      <c r="A155" s="1" t="s">
        <v>1481</v>
      </c>
      <c r="B155" s="166"/>
      <c r="C155" s="2">
        <v>40</v>
      </c>
      <c r="D155" s="2">
        <v>45</v>
      </c>
      <c r="E155" s="2">
        <v>65</v>
      </c>
      <c r="F155" s="2">
        <v>5</v>
      </c>
      <c r="G155" s="3">
        <v>165</v>
      </c>
      <c r="H155" s="4">
        <v>138</v>
      </c>
      <c r="I155" s="5">
        <v>95</v>
      </c>
      <c r="J155" s="2">
        <f t="shared" si="3"/>
        <v>398</v>
      </c>
      <c r="K155" s="12"/>
      <c r="P155" s="6" t="s">
        <v>1482</v>
      </c>
    </row>
    <row r="156" ht="34" spans="1:16">
      <c r="A156" s="1" t="s">
        <v>1483</v>
      </c>
      <c r="B156" s="167"/>
      <c r="C156" s="2">
        <v>45</v>
      </c>
      <c r="D156" s="2">
        <v>50</v>
      </c>
      <c r="E156" s="2">
        <v>60</v>
      </c>
      <c r="F156" s="2">
        <v>0</v>
      </c>
      <c r="G156" s="3">
        <v>158</v>
      </c>
      <c r="H156" s="4">
        <v>131</v>
      </c>
      <c r="I156" s="5">
        <v>104</v>
      </c>
      <c r="J156" s="2">
        <f t="shared" si="3"/>
        <v>393</v>
      </c>
      <c r="K156" s="12"/>
      <c r="P156" s="6" t="s">
        <v>1484</v>
      </c>
    </row>
    <row r="157" ht="34" spans="1:16">
      <c r="A157" s="1" t="s">
        <v>1485</v>
      </c>
      <c r="B157" s="168"/>
      <c r="C157" s="2">
        <v>40</v>
      </c>
      <c r="D157" s="2">
        <v>40</v>
      </c>
      <c r="E157" s="2">
        <v>80</v>
      </c>
      <c r="F157" s="2">
        <v>0</v>
      </c>
      <c r="G157" s="3">
        <v>170</v>
      </c>
      <c r="H157" s="4">
        <v>150</v>
      </c>
      <c r="I157" s="5">
        <v>73</v>
      </c>
      <c r="J157" s="2">
        <f t="shared" si="3"/>
        <v>393</v>
      </c>
      <c r="K157" s="12"/>
      <c r="P157" s="6" t="s">
        <v>1486</v>
      </c>
    </row>
    <row r="158" ht="17" spans="1:16">
      <c r="A158" s="1" t="s">
        <v>1487</v>
      </c>
      <c r="B158" s="169"/>
      <c r="C158" s="2">
        <v>32</v>
      </c>
      <c r="D158" s="2">
        <v>40</v>
      </c>
      <c r="E158" s="2">
        <v>53</v>
      </c>
      <c r="F158" s="2">
        <v>22</v>
      </c>
      <c r="G158" s="3">
        <v>151</v>
      </c>
      <c r="H158" s="4">
        <v>132</v>
      </c>
      <c r="I158" s="5">
        <v>108</v>
      </c>
      <c r="J158" s="2">
        <f t="shared" si="3"/>
        <v>391</v>
      </c>
      <c r="L158" s="17"/>
      <c r="M158" s="2"/>
    </row>
    <row r="159" ht="17" spans="1:16">
      <c r="A159" s="1" t="s">
        <v>1488</v>
      </c>
      <c r="B159" s="170"/>
      <c r="C159" s="2">
        <v>18</v>
      </c>
      <c r="D159" s="2">
        <v>57</v>
      </c>
      <c r="E159" s="2">
        <v>76</v>
      </c>
      <c r="F159" s="2">
        <v>6</v>
      </c>
      <c r="G159" s="3">
        <v>190</v>
      </c>
      <c r="H159" s="4">
        <v>126</v>
      </c>
      <c r="I159" s="5">
        <v>74</v>
      </c>
      <c r="J159" s="2">
        <f t="shared" si="3"/>
        <v>390</v>
      </c>
      <c r="L159" s="17"/>
      <c r="M159" s="2"/>
    </row>
    <row r="160" ht="17" spans="1:16">
      <c r="A160" s="1" t="s">
        <v>1489</v>
      </c>
      <c r="B160" s="171"/>
      <c r="C160" s="2">
        <v>50</v>
      </c>
      <c r="D160" s="2">
        <v>45</v>
      </c>
      <c r="E160" s="2">
        <v>60</v>
      </c>
      <c r="F160" s="2">
        <v>0</v>
      </c>
      <c r="G160" s="3">
        <v>146</v>
      </c>
      <c r="H160" s="4">
        <v>137</v>
      </c>
      <c r="I160" s="5">
        <v>107</v>
      </c>
      <c r="J160" s="2">
        <f t="shared" si="3"/>
        <v>390</v>
      </c>
      <c r="K160" s="12"/>
      <c r="P160" s="6" t="s">
        <v>1490</v>
      </c>
    </row>
    <row r="161" ht="34" spans="1:16">
      <c r="A161" s="1" t="s">
        <v>1491</v>
      </c>
      <c r="B161" s="172"/>
      <c r="C161" s="2">
        <v>45</v>
      </c>
      <c r="D161" s="2">
        <v>50</v>
      </c>
      <c r="E161" s="2">
        <v>55</v>
      </c>
      <c r="F161" s="2">
        <v>5</v>
      </c>
      <c r="G161" s="3">
        <v>153</v>
      </c>
      <c r="H161" s="4">
        <v>128</v>
      </c>
      <c r="I161" s="5">
        <v>108</v>
      </c>
      <c r="J161" s="2">
        <f t="shared" si="3"/>
        <v>389</v>
      </c>
      <c r="K161" s="12"/>
      <c r="P161" s="6" t="s">
        <v>1492</v>
      </c>
    </row>
    <row r="162" ht="252" spans="1:16">
      <c r="A162" s="1" t="s">
        <v>1493</v>
      </c>
      <c r="B162" s="173"/>
      <c r="C162" s="2">
        <v>34</v>
      </c>
      <c r="D162" s="2">
        <v>42</v>
      </c>
      <c r="E162" s="2">
        <v>46</v>
      </c>
      <c r="F162" s="2">
        <v>23</v>
      </c>
      <c r="G162" s="3">
        <v>145</v>
      </c>
      <c r="H162" s="4">
        <v>128</v>
      </c>
      <c r="I162" s="5">
        <v>114</v>
      </c>
      <c r="J162" s="2">
        <f t="shared" si="3"/>
        <v>387</v>
      </c>
      <c r="L162" s="17"/>
      <c r="M162" s="2"/>
      <c r="O162" s="28">
        <v>172184190</v>
      </c>
      <c r="P162" s="6" t="s">
        <v>1494</v>
      </c>
    </row>
    <row r="163" ht="17" spans="1:16">
      <c r="A163" s="1" t="s">
        <v>1495</v>
      </c>
      <c r="B163" s="174"/>
      <c r="C163" s="2">
        <v>50</v>
      </c>
      <c r="D163" s="2">
        <v>40</v>
      </c>
      <c r="E163" s="2">
        <v>70</v>
      </c>
      <c r="F163" s="2">
        <v>0</v>
      </c>
      <c r="G163" s="3">
        <v>146</v>
      </c>
      <c r="H163" s="4">
        <v>144</v>
      </c>
      <c r="I163" s="5">
        <v>93</v>
      </c>
      <c r="J163" s="2">
        <f t="shared" si="3"/>
        <v>383</v>
      </c>
      <c r="K163" s="12" t="s">
        <v>60</v>
      </c>
      <c r="P163" s="6" t="s">
        <v>1496</v>
      </c>
    </row>
    <row r="164" ht="17" spans="1:16">
      <c r="A164" s="1" t="s">
        <v>1497</v>
      </c>
      <c r="B164" s="175"/>
      <c r="C164" s="2">
        <v>35</v>
      </c>
      <c r="D164" s="2">
        <v>65</v>
      </c>
      <c r="E164" s="2">
        <v>60</v>
      </c>
      <c r="F164" s="2">
        <v>0</v>
      </c>
      <c r="G164" s="3">
        <v>178</v>
      </c>
      <c r="H164" s="4">
        <v>109</v>
      </c>
      <c r="I164" s="5">
        <v>93</v>
      </c>
      <c r="J164" s="2">
        <f t="shared" si="3"/>
        <v>380</v>
      </c>
      <c r="K164" s="12" t="s">
        <v>60</v>
      </c>
      <c r="M164" s="12" t="s">
        <v>1498</v>
      </c>
      <c r="P164" s="6" t="s">
        <v>1499</v>
      </c>
    </row>
    <row r="165" ht="17" spans="1:16">
      <c r="A165" s="1" t="s">
        <v>1500</v>
      </c>
      <c r="B165" s="176"/>
      <c r="C165" s="2">
        <v>42</v>
      </c>
      <c r="D165" s="2">
        <v>40</v>
      </c>
      <c r="E165" s="2">
        <v>43</v>
      </c>
      <c r="F165" s="2">
        <v>23</v>
      </c>
      <c r="G165" s="3">
        <v>134</v>
      </c>
      <c r="H165" s="4">
        <v>126</v>
      </c>
      <c r="I165" s="5">
        <v>118</v>
      </c>
      <c r="J165" s="2">
        <f t="shared" si="3"/>
        <v>378</v>
      </c>
      <c r="L165" s="17"/>
      <c r="M165" s="2"/>
    </row>
    <row r="166" ht="17" spans="1:16">
      <c r="A166" s="1" t="s">
        <v>1501</v>
      </c>
      <c r="B166" s="177"/>
      <c r="C166" s="2">
        <v>45</v>
      </c>
      <c r="D166" s="2">
        <v>50</v>
      </c>
      <c r="E166" s="2">
        <v>70</v>
      </c>
      <c r="F166" s="2">
        <v>0</v>
      </c>
      <c r="G166" s="3">
        <v>158</v>
      </c>
      <c r="H166" s="4">
        <v>131</v>
      </c>
      <c r="I166" s="5">
        <v>88</v>
      </c>
      <c r="J166" s="2">
        <f t="shared" si="3"/>
        <v>377</v>
      </c>
      <c r="K166" s="12"/>
      <c r="P166" s="6" t="s">
        <v>1502</v>
      </c>
    </row>
    <row r="167" ht="17" spans="1:16">
      <c r="A167" s="1" t="s">
        <v>1503</v>
      </c>
      <c r="B167" s="178"/>
      <c r="C167" s="2">
        <v>63</v>
      </c>
      <c r="D167" s="2">
        <v>31</v>
      </c>
      <c r="E167" s="2">
        <v>50</v>
      </c>
      <c r="F167" s="2">
        <v>14</v>
      </c>
      <c r="G167" s="3">
        <v>112</v>
      </c>
      <c r="H167" s="4">
        <v>136</v>
      </c>
      <c r="I167" s="5">
        <v>125</v>
      </c>
      <c r="J167" s="2">
        <f t="shared" si="3"/>
        <v>373</v>
      </c>
      <c r="L167" s="17"/>
      <c r="M167" s="2"/>
    </row>
    <row r="168" ht="17" spans="1:16">
      <c r="A168" s="1" t="s">
        <v>1504</v>
      </c>
      <c r="B168" s="179"/>
      <c r="C168" s="2">
        <v>43</v>
      </c>
      <c r="D168" s="2">
        <v>40</v>
      </c>
      <c r="E168" s="2">
        <v>44</v>
      </c>
      <c r="F168" s="2">
        <v>42</v>
      </c>
      <c r="G168" s="3">
        <v>132</v>
      </c>
      <c r="H168" s="4">
        <v>124</v>
      </c>
      <c r="I168" s="5">
        <v>116</v>
      </c>
      <c r="J168" s="2">
        <f t="shared" si="3"/>
        <v>372</v>
      </c>
      <c r="L168" s="17"/>
      <c r="M168" s="2"/>
    </row>
    <row r="169" ht="17" spans="1:16">
      <c r="A169" s="1" t="s">
        <v>1505</v>
      </c>
      <c r="B169" s="180"/>
      <c r="C169" s="2">
        <v>45</v>
      </c>
      <c r="D169" s="2">
        <v>65</v>
      </c>
      <c r="E169" s="2">
        <v>50</v>
      </c>
      <c r="F169" s="2">
        <v>0</v>
      </c>
      <c r="G169" s="3">
        <v>158</v>
      </c>
      <c r="H169" s="4">
        <v>105</v>
      </c>
      <c r="I169" s="5">
        <v>109</v>
      </c>
      <c r="J169" s="2">
        <f t="shared" si="3"/>
        <v>372</v>
      </c>
      <c r="K169" s="12"/>
      <c r="P169" s="6" t="s">
        <v>1506</v>
      </c>
    </row>
    <row r="170" ht="17" spans="1:16">
      <c r="A170" s="1" t="s">
        <v>1507</v>
      </c>
      <c r="B170" s="181"/>
      <c r="C170" s="2">
        <v>60</v>
      </c>
      <c r="D170" s="2">
        <v>50</v>
      </c>
      <c r="E170" s="2">
        <v>50</v>
      </c>
      <c r="F170" s="2">
        <v>0</v>
      </c>
      <c r="G170" s="3">
        <v>122</v>
      </c>
      <c r="H170" s="4">
        <v>123</v>
      </c>
      <c r="I170" s="5">
        <v>120</v>
      </c>
      <c r="J170" s="2">
        <f t="shared" si="3"/>
        <v>365</v>
      </c>
      <c r="K170" s="12"/>
      <c r="P170" s="6" t="s">
        <v>1508</v>
      </c>
    </row>
    <row r="171" ht="17" spans="1:16">
      <c r="A171" s="1" t="s">
        <v>1509</v>
      </c>
      <c r="B171" s="182"/>
      <c r="C171" s="2">
        <v>57</v>
      </c>
      <c r="D171" s="2">
        <v>37</v>
      </c>
      <c r="E171" s="2">
        <v>42</v>
      </c>
      <c r="F171" s="2">
        <v>21</v>
      </c>
      <c r="G171" s="3">
        <v>115</v>
      </c>
      <c r="H171" s="4">
        <v>124</v>
      </c>
      <c r="I171" s="5">
        <v>123</v>
      </c>
      <c r="J171" s="2">
        <f t="shared" si="3"/>
        <v>362</v>
      </c>
      <c r="L171" s="17"/>
      <c r="M171" s="2"/>
    </row>
    <row r="172" ht="17" spans="1:16">
      <c r="A172" s="1" t="s">
        <v>1510</v>
      </c>
      <c r="B172" s="183"/>
      <c r="C172" s="2">
        <v>60</v>
      </c>
      <c r="D172" s="2">
        <v>45</v>
      </c>
      <c r="E172" s="2">
        <v>60</v>
      </c>
      <c r="F172" s="2">
        <v>0</v>
      </c>
      <c r="G172" s="3">
        <v>121</v>
      </c>
      <c r="H172" s="4">
        <v>131</v>
      </c>
      <c r="I172" s="5">
        <v>108</v>
      </c>
      <c r="J172" s="2">
        <f t="shared" si="3"/>
        <v>360</v>
      </c>
      <c r="K172" s="12"/>
      <c r="P172" s="6" t="s">
        <v>1511</v>
      </c>
    </row>
    <row r="173" ht="17" spans="1:16">
      <c r="A173" s="1" t="s">
        <v>1512</v>
      </c>
      <c r="B173" s="184"/>
      <c r="C173" s="2">
        <v>40</v>
      </c>
      <c r="D173" s="2">
        <v>70</v>
      </c>
      <c r="E173" s="2">
        <v>50</v>
      </c>
      <c r="F173" s="2">
        <v>5</v>
      </c>
      <c r="G173" s="3">
        <v>163</v>
      </c>
      <c r="H173" s="4">
        <v>95</v>
      </c>
      <c r="I173" s="5">
        <v>101</v>
      </c>
      <c r="J173" s="2">
        <f t="shared" si="3"/>
        <v>359</v>
      </c>
      <c r="K173" s="12"/>
      <c r="P173" s="6" t="s">
        <v>1513</v>
      </c>
    </row>
    <row r="174" ht="17" spans="1:16">
      <c r="A174" s="1" t="s">
        <v>1514</v>
      </c>
      <c r="B174" s="185"/>
      <c r="C174" s="2">
        <v>42</v>
      </c>
      <c r="D174" s="2">
        <v>42</v>
      </c>
      <c r="E174" s="2">
        <v>46</v>
      </c>
      <c r="F174" s="2">
        <v>27</v>
      </c>
      <c r="G174" s="3">
        <v>129</v>
      </c>
      <c r="H174" s="4">
        <v>119</v>
      </c>
      <c r="I174" s="5">
        <v>110</v>
      </c>
      <c r="J174" s="2">
        <f t="shared" si="3"/>
        <v>358</v>
      </c>
      <c r="L174" s="17"/>
      <c r="M174" s="2"/>
    </row>
    <row r="175" ht="17" spans="1:16">
      <c r="A175" s="1" t="s">
        <v>1515</v>
      </c>
      <c r="B175" s="186"/>
      <c r="C175" s="2">
        <v>55</v>
      </c>
      <c r="D175" s="2">
        <v>40</v>
      </c>
      <c r="E175" s="2">
        <v>40</v>
      </c>
      <c r="F175" s="2">
        <v>23</v>
      </c>
      <c r="G175" s="3">
        <v>116</v>
      </c>
      <c r="H175" s="4">
        <v>120</v>
      </c>
      <c r="I175" s="5">
        <v>122</v>
      </c>
      <c r="J175" s="2">
        <f t="shared" si="3"/>
        <v>358</v>
      </c>
      <c r="L175" s="17"/>
      <c r="M175" s="2"/>
    </row>
    <row r="176" ht="17" spans="1:16">
      <c r="A176" s="1" t="s">
        <v>1516</v>
      </c>
      <c r="B176" s="187"/>
      <c r="C176" s="2">
        <v>42</v>
      </c>
      <c r="D176" s="2">
        <v>42</v>
      </c>
      <c r="E176" s="2">
        <v>45</v>
      </c>
      <c r="F176" s="2">
        <v>27</v>
      </c>
      <c r="G176" s="3">
        <v>128</v>
      </c>
      <c r="H176" s="4">
        <v>118</v>
      </c>
      <c r="I176" s="5">
        <v>110</v>
      </c>
      <c r="J176" s="2">
        <f t="shared" si="3"/>
        <v>356</v>
      </c>
      <c r="L176" s="17"/>
      <c r="M176" s="2"/>
    </row>
    <row r="177" ht="17" spans="1:16">
      <c r="A177" s="1" t="s">
        <v>1517</v>
      </c>
      <c r="B177" s="188"/>
      <c r="C177" s="2">
        <v>39</v>
      </c>
      <c r="D177" s="2">
        <v>53</v>
      </c>
      <c r="E177" s="2">
        <v>38</v>
      </c>
      <c r="F177" s="2">
        <v>25</v>
      </c>
      <c r="G177" s="3">
        <v>133</v>
      </c>
      <c r="H177" s="4">
        <v>109</v>
      </c>
      <c r="I177" s="5">
        <v>114</v>
      </c>
      <c r="J177" s="2">
        <f t="shared" si="3"/>
        <v>356</v>
      </c>
      <c r="L177" s="17"/>
    </row>
    <row r="178" ht="17" spans="1:16">
      <c r="A178" s="1" t="s">
        <v>1518</v>
      </c>
      <c r="B178" s="189"/>
      <c r="C178" s="2">
        <v>40</v>
      </c>
      <c r="D178" s="2">
        <v>50</v>
      </c>
      <c r="E178" s="2">
        <v>90</v>
      </c>
      <c r="F178" s="2">
        <v>0</v>
      </c>
      <c r="G178" s="3">
        <v>170</v>
      </c>
      <c r="H178" s="4">
        <v>133</v>
      </c>
      <c r="I178" s="5">
        <v>52</v>
      </c>
      <c r="J178" s="2">
        <f t="shared" si="3"/>
        <v>355</v>
      </c>
      <c r="K178" s="12"/>
      <c r="P178" s="6" t="s">
        <v>1519</v>
      </c>
    </row>
    <row r="179" ht="17" spans="1:16">
      <c r="A179" s="1" t="s">
        <v>1520</v>
      </c>
      <c r="B179" s="190"/>
      <c r="C179" s="2">
        <v>48</v>
      </c>
      <c r="D179" s="2">
        <v>45</v>
      </c>
      <c r="E179" s="2">
        <v>40</v>
      </c>
      <c r="F179" s="2">
        <v>26</v>
      </c>
      <c r="G179" s="3">
        <v>122</v>
      </c>
      <c r="H179" s="4">
        <v>115</v>
      </c>
      <c r="I179" s="5">
        <v>116</v>
      </c>
      <c r="J179" s="2">
        <f t="shared" si="3"/>
        <v>353</v>
      </c>
      <c r="L179" s="17"/>
    </row>
    <row r="180" ht="17" spans="1:16">
      <c r="A180" s="1" t="s">
        <v>1521</v>
      </c>
      <c r="B180" s="191"/>
      <c r="C180" s="2">
        <v>22</v>
      </c>
      <c r="D180" s="2">
        <v>64</v>
      </c>
      <c r="E180" s="2">
        <v>71</v>
      </c>
      <c r="F180" s="2">
        <v>12</v>
      </c>
      <c r="G180" s="3">
        <v>170</v>
      </c>
      <c r="H180" s="4">
        <v>106</v>
      </c>
      <c r="I180" s="5">
        <v>76</v>
      </c>
      <c r="J180" s="2">
        <f t="shared" si="3"/>
        <v>352</v>
      </c>
      <c r="L180" s="17"/>
    </row>
    <row r="181" ht="34" spans="1:16">
      <c r="A181" s="1" t="s">
        <v>1522</v>
      </c>
      <c r="B181" s="192"/>
      <c r="C181" s="2">
        <v>50</v>
      </c>
      <c r="D181" s="2">
        <v>60</v>
      </c>
      <c r="E181" s="2">
        <v>60</v>
      </c>
      <c r="F181" s="2">
        <v>5</v>
      </c>
      <c r="G181" s="3">
        <v>143</v>
      </c>
      <c r="H181" s="4">
        <v>109</v>
      </c>
      <c r="I181" s="5">
        <v>95</v>
      </c>
      <c r="J181" s="2">
        <f t="shared" si="3"/>
        <v>347</v>
      </c>
      <c r="K181" s="12"/>
      <c r="P181" s="6" t="s">
        <v>1523</v>
      </c>
    </row>
    <row r="182" ht="17" spans="1:16">
      <c r="A182" s="1" t="s">
        <v>1524</v>
      </c>
      <c r="B182" s="193"/>
      <c r="C182" s="2">
        <v>50</v>
      </c>
      <c r="D182" s="2">
        <v>55</v>
      </c>
      <c r="E182" s="2">
        <v>75</v>
      </c>
      <c r="F182" s="2">
        <v>0</v>
      </c>
      <c r="G182" s="3">
        <v>148</v>
      </c>
      <c r="H182" s="4">
        <v>120</v>
      </c>
      <c r="I182" s="5">
        <v>79</v>
      </c>
      <c r="J182" s="2">
        <f t="shared" si="3"/>
        <v>347</v>
      </c>
      <c r="K182" s="12"/>
      <c r="P182" s="6" t="s">
        <v>1525</v>
      </c>
    </row>
    <row r="183" ht="17" spans="1:16">
      <c r="A183" s="1" t="s">
        <v>1526</v>
      </c>
      <c r="B183" s="194"/>
      <c r="C183" s="2">
        <v>38</v>
      </c>
      <c r="D183" s="2">
        <v>38</v>
      </c>
      <c r="E183" s="2">
        <v>76</v>
      </c>
      <c r="F183" s="2">
        <v>24</v>
      </c>
      <c r="G183" s="3">
        <v>142</v>
      </c>
      <c r="H183" s="4">
        <v>128</v>
      </c>
      <c r="I183" s="5">
        <v>75</v>
      </c>
      <c r="J183" s="2">
        <f t="shared" si="3"/>
        <v>345</v>
      </c>
      <c r="L183" s="17"/>
      <c r="M183" s="2"/>
    </row>
    <row r="184" ht="17" spans="1:16">
      <c r="A184" s="1" t="s">
        <v>1527</v>
      </c>
      <c r="B184" s="195"/>
      <c r="C184" s="2">
        <v>40</v>
      </c>
      <c r="D184" s="2">
        <v>75</v>
      </c>
      <c r="E184" s="2">
        <v>60</v>
      </c>
      <c r="F184" s="2">
        <v>0</v>
      </c>
      <c r="G184" s="3">
        <v>168</v>
      </c>
      <c r="H184" s="4">
        <v>88</v>
      </c>
      <c r="I184" s="5">
        <v>88</v>
      </c>
      <c r="J184" s="2">
        <f t="shared" si="3"/>
        <v>344</v>
      </c>
      <c r="K184" s="12"/>
      <c r="P184" s="6" t="s">
        <v>1528</v>
      </c>
    </row>
    <row r="185" ht="17" spans="1:16">
      <c r="A185" s="1" t="s">
        <v>1529</v>
      </c>
      <c r="B185" s="196"/>
      <c r="C185" s="2">
        <v>55</v>
      </c>
      <c r="D185" s="2">
        <v>50</v>
      </c>
      <c r="E185" s="2">
        <v>75</v>
      </c>
      <c r="F185" s="2">
        <v>0</v>
      </c>
      <c r="G185" s="3">
        <v>135</v>
      </c>
      <c r="H185" s="4">
        <v>125</v>
      </c>
      <c r="I185" s="5">
        <v>82</v>
      </c>
      <c r="J185" s="2">
        <f t="shared" si="3"/>
        <v>342</v>
      </c>
      <c r="K185" s="12"/>
      <c r="P185" s="6" t="s">
        <v>1530</v>
      </c>
    </row>
    <row r="186" ht="168" spans="1:16">
      <c r="A186" s="1" t="s">
        <v>1531</v>
      </c>
      <c r="B186" s="197"/>
      <c r="C186" s="2">
        <v>55</v>
      </c>
      <c r="D186" s="2">
        <v>55</v>
      </c>
      <c r="E186" s="2">
        <v>70</v>
      </c>
      <c r="F186" s="2">
        <v>0</v>
      </c>
      <c r="G186" s="3">
        <v>136</v>
      </c>
      <c r="H186" s="4">
        <v>118</v>
      </c>
      <c r="I186" s="5">
        <v>87</v>
      </c>
      <c r="J186" s="2">
        <f t="shared" si="3"/>
        <v>341</v>
      </c>
      <c r="K186" s="12"/>
      <c r="M186" s="12" t="s">
        <v>1532</v>
      </c>
      <c r="O186" s="9" t="s">
        <v>1533</v>
      </c>
      <c r="P186" s="6" t="s">
        <v>1534</v>
      </c>
    </row>
    <row r="187" ht="68" spans="1:16">
      <c r="A187" s="1" t="s">
        <v>1535</v>
      </c>
      <c r="B187" s="198"/>
      <c r="C187" s="2">
        <v>45</v>
      </c>
      <c r="D187" s="2">
        <v>65</v>
      </c>
      <c r="E187" s="2">
        <v>65</v>
      </c>
      <c r="F187" s="2">
        <v>5</v>
      </c>
      <c r="G187" s="3">
        <v>154</v>
      </c>
      <c r="H187" s="4">
        <v>102</v>
      </c>
      <c r="I187" s="5">
        <v>85</v>
      </c>
      <c r="J187" s="2">
        <f t="shared" si="3"/>
        <v>341</v>
      </c>
      <c r="K187" s="12"/>
      <c r="P187" s="6" t="s">
        <v>1536</v>
      </c>
    </row>
    <row r="188" ht="84" spans="1:16">
      <c r="A188" s="1" t="s">
        <v>1537</v>
      </c>
      <c r="B188" s="199"/>
      <c r="C188" s="2">
        <v>40</v>
      </c>
      <c r="D188" s="2">
        <v>70</v>
      </c>
      <c r="E188" s="2">
        <v>75</v>
      </c>
      <c r="F188" s="2">
        <v>5</v>
      </c>
      <c r="G188" s="3">
        <v>164</v>
      </c>
      <c r="H188" s="4">
        <v>95</v>
      </c>
      <c r="I188" s="5">
        <v>68</v>
      </c>
      <c r="J188" s="2">
        <f t="shared" si="3"/>
        <v>327</v>
      </c>
      <c r="K188" s="12"/>
      <c r="P188" s="6" t="s">
        <v>1538</v>
      </c>
    </row>
    <row r="189" ht="34" spans="1:16">
      <c r="A189" s="1" t="s">
        <v>1539</v>
      </c>
      <c r="B189" s="200"/>
      <c r="C189" s="2">
        <v>50</v>
      </c>
      <c r="D189" s="2">
        <v>60</v>
      </c>
      <c r="E189" s="2">
        <v>75</v>
      </c>
      <c r="F189" s="2">
        <v>5</v>
      </c>
      <c r="G189" s="3">
        <v>144</v>
      </c>
      <c r="H189" s="4">
        <v>108</v>
      </c>
      <c r="I189" s="5">
        <v>74</v>
      </c>
      <c r="J189" s="2">
        <f t="shared" si="3"/>
        <v>326</v>
      </c>
      <c r="K189" s="12"/>
      <c r="P189" s="6" t="s">
        <v>1540</v>
      </c>
    </row>
    <row r="190" ht="17" spans="1:16">
      <c r="A190" s="1" t="s">
        <v>1541</v>
      </c>
      <c r="B190" s="201"/>
      <c r="C190" s="2">
        <v>65</v>
      </c>
      <c r="D190" s="2">
        <v>40</v>
      </c>
      <c r="E190" s="2">
        <v>44</v>
      </c>
      <c r="F190" s="2">
        <v>26</v>
      </c>
      <c r="G190" s="3">
        <v>97</v>
      </c>
      <c r="H190" s="4">
        <v>113</v>
      </c>
      <c r="I190" s="5">
        <v>114</v>
      </c>
      <c r="J190" s="2">
        <f t="shared" si="3"/>
        <v>324</v>
      </c>
      <c r="L190" s="17"/>
      <c r="M190" s="2"/>
    </row>
    <row r="191" ht="51" spans="1:16">
      <c r="A191" s="1" t="s">
        <v>1542</v>
      </c>
      <c r="B191" s="202"/>
      <c r="C191" s="2">
        <v>60</v>
      </c>
      <c r="D191" s="2">
        <v>60</v>
      </c>
      <c r="E191" s="2">
        <v>60</v>
      </c>
      <c r="F191" s="2">
        <v>5</v>
      </c>
      <c r="G191" s="3">
        <v>121</v>
      </c>
      <c r="H191" s="4">
        <v>104</v>
      </c>
      <c r="I191" s="5">
        <v>96</v>
      </c>
      <c r="J191" s="2">
        <f t="shared" si="3"/>
        <v>321</v>
      </c>
      <c r="K191" s="12"/>
      <c r="P191" s="6" t="s">
        <v>1543</v>
      </c>
    </row>
    <row r="192" ht="17" spans="1:16">
      <c r="A192" s="1" t="s">
        <v>1544</v>
      </c>
      <c r="B192" s="203"/>
      <c r="C192" s="2">
        <v>55</v>
      </c>
      <c r="D192" s="2">
        <v>50</v>
      </c>
      <c r="E192" s="2">
        <v>75</v>
      </c>
      <c r="F192" s="2">
        <v>10</v>
      </c>
      <c r="G192" s="3">
        <v>127</v>
      </c>
      <c r="H192" s="4">
        <v>117</v>
      </c>
      <c r="I192" s="5">
        <v>76</v>
      </c>
      <c r="J192" s="2">
        <f t="shared" si="3"/>
        <v>320</v>
      </c>
      <c r="K192" s="12" t="s">
        <v>60</v>
      </c>
      <c r="P192" s="6" t="s">
        <v>1545</v>
      </c>
    </row>
    <row r="193" ht="34" spans="1:16">
      <c r="A193" s="1" t="s">
        <v>1546</v>
      </c>
      <c r="B193" s="204"/>
      <c r="C193" s="2">
        <v>55</v>
      </c>
      <c r="D193" s="2">
        <v>60</v>
      </c>
      <c r="E193" s="2">
        <v>80</v>
      </c>
      <c r="F193" s="2">
        <v>0</v>
      </c>
      <c r="G193" s="3">
        <v>137</v>
      </c>
      <c r="H193" s="4">
        <v>109</v>
      </c>
      <c r="I193" s="5">
        <v>71</v>
      </c>
      <c r="J193" s="2">
        <f t="shared" si="3"/>
        <v>317</v>
      </c>
      <c r="K193" s="12" t="s">
        <v>60</v>
      </c>
      <c r="P193" s="6" t="s">
        <v>1547</v>
      </c>
    </row>
    <row r="194" ht="17" spans="1:16">
      <c r="A194" s="1" t="s">
        <v>1548</v>
      </c>
      <c r="B194" s="205"/>
      <c r="C194" s="2">
        <v>31</v>
      </c>
      <c r="D194" s="2">
        <v>63</v>
      </c>
      <c r="E194" s="2">
        <v>66</v>
      </c>
      <c r="F194" s="2">
        <v>31</v>
      </c>
      <c r="G194" s="3">
        <v>139</v>
      </c>
      <c r="H194" s="4">
        <v>97</v>
      </c>
      <c r="I194" s="5">
        <v>77</v>
      </c>
      <c r="J194" s="2">
        <f t="shared" si="3"/>
        <v>313</v>
      </c>
      <c r="L194" s="17"/>
    </row>
    <row r="195" ht="17" spans="1:16">
      <c r="A195" s="1" t="s">
        <v>1549</v>
      </c>
      <c r="B195" s="206"/>
      <c r="C195" s="2">
        <v>65</v>
      </c>
      <c r="D195" s="2">
        <v>55</v>
      </c>
      <c r="E195" s="2">
        <v>55</v>
      </c>
      <c r="F195" s="2">
        <v>10</v>
      </c>
      <c r="G195" s="3">
        <v>104</v>
      </c>
      <c r="H195" s="4">
        <v>106</v>
      </c>
      <c r="I195" s="5">
        <v>103</v>
      </c>
      <c r="J195" s="2">
        <f t="shared" si="3"/>
        <v>313</v>
      </c>
      <c r="K195" s="12"/>
      <c r="P195" s="6" t="s">
        <v>1550</v>
      </c>
    </row>
    <row r="196" ht="17" spans="1:16">
      <c r="A196" s="1" t="s">
        <v>1551</v>
      </c>
      <c r="B196" s="207"/>
      <c r="C196" s="2">
        <v>46</v>
      </c>
      <c r="D196" s="2">
        <v>70</v>
      </c>
      <c r="E196" s="2">
        <v>45</v>
      </c>
      <c r="F196" s="2">
        <v>19</v>
      </c>
      <c r="G196" s="3">
        <v>129</v>
      </c>
      <c r="H196" s="4">
        <v>84</v>
      </c>
      <c r="I196" s="5">
        <v>99</v>
      </c>
      <c r="J196" s="2">
        <f t="shared" si="3"/>
        <v>312</v>
      </c>
      <c r="M196" s="12"/>
      <c r="P196" s="6" t="s">
        <v>1552</v>
      </c>
    </row>
    <row r="197" ht="17" spans="1:16">
      <c r="A197" s="1" t="s">
        <v>1553</v>
      </c>
      <c r="B197" s="208"/>
      <c r="C197" s="2">
        <v>35</v>
      </c>
      <c r="D197" s="2">
        <v>44</v>
      </c>
      <c r="E197" s="2">
        <v>80</v>
      </c>
      <c r="F197" s="2">
        <v>30</v>
      </c>
      <c r="G197" s="3">
        <v>135</v>
      </c>
      <c r="H197" s="4">
        <v>114</v>
      </c>
      <c r="I197" s="5">
        <v>62</v>
      </c>
      <c r="J197" s="2">
        <f t="shared" si="3"/>
        <v>311</v>
      </c>
      <c r="L197" s="17"/>
      <c r="M197" s="2"/>
    </row>
    <row r="198" ht="34" spans="1:16">
      <c r="A198" s="1" t="s">
        <v>1554</v>
      </c>
      <c r="B198" s="209"/>
      <c r="C198" s="2">
        <v>65</v>
      </c>
      <c r="D198" s="2">
        <v>60</v>
      </c>
      <c r="E198" s="2">
        <v>65</v>
      </c>
      <c r="F198" s="2">
        <v>0</v>
      </c>
      <c r="G198" s="3">
        <v>112</v>
      </c>
      <c r="H198" s="4">
        <v>105</v>
      </c>
      <c r="I198" s="5">
        <v>93</v>
      </c>
      <c r="J198" s="2">
        <f t="shared" si="3"/>
        <v>310</v>
      </c>
      <c r="K198" s="12"/>
      <c r="P198" s="6" t="s">
        <v>1555</v>
      </c>
    </row>
    <row r="199" ht="17" spans="1:16">
      <c r="A199" s="1" t="s">
        <v>1556</v>
      </c>
      <c r="B199" s="210"/>
      <c r="C199" s="2">
        <v>35</v>
      </c>
      <c r="D199" s="2">
        <v>47</v>
      </c>
      <c r="E199" s="2">
        <v>71</v>
      </c>
      <c r="F199" s="2">
        <v>33</v>
      </c>
      <c r="G199" s="3">
        <v>130</v>
      </c>
      <c r="H199" s="4">
        <v>107</v>
      </c>
      <c r="I199" s="5">
        <v>72</v>
      </c>
      <c r="J199" s="2">
        <f t="shared" si="3"/>
        <v>309</v>
      </c>
      <c r="L199" s="17"/>
      <c r="M199" s="2"/>
    </row>
    <row r="200" ht="17" spans="1:16">
      <c r="A200" s="1" t="s">
        <v>1557</v>
      </c>
      <c r="B200" s="211"/>
      <c r="C200" s="2">
        <v>65</v>
      </c>
      <c r="D200" s="2">
        <v>65</v>
      </c>
      <c r="E200" s="2">
        <v>45</v>
      </c>
      <c r="F200" s="2">
        <v>10</v>
      </c>
      <c r="G200" s="3">
        <v>106</v>
      </c>
      <c r="H200" s="4">
        <v>91</v>
      </c>
      <c r="I200" s="5">
        <v>109</v>
      </c>
      <c r="J200" s="2">
        <f t="shared" si="3"/>
        <v>306</v>
      </c>
      <c r="K200" s="12"/>
      <c r="P200" s="6" t="s">
        <v>1558</v>
      </c>
    </row>
    <row r="201" ht="17" spans="1:16">
      <c r="A201" s="1" t="s">
        <v>1559</v>
      </c>
      <c r="B201" s="212"/>
      <c r="C201" s="2">
        <v>45</v>
      </c>
      <c r="D201" s="2">
        <v>70</v>
      </c>
      <c r="E201" s="2">
        <v>75</v>
      </c>
      <c r="F201" s="2">
        <v>10</v>
      </c>
      <c r="G201" s="3">
        <v>149</v>
      </c>
      <c r="H201" s="4">
        <v>90</v>
      </c>
      <c r="I201" s="5">
        <v>66</v>
      </c>
      <c r="J201" s="2">
        <f t="shared" si="3"/>
        <v>305</v>
      </c>
      <c r="K201" s="12"/>
      <c r="P201" s="6" t="s">
        <v>1560</v>
      </c>
    </row>
    <row r="202" ht="34" spans="1:16">
      <c r="A202" s="1" t="s">
        <v>1561</v>
      </c>
      <c r="B202" s="213"/>
      <c r="C202" s="2">
        <v>40</v>
      </c>
      <c r="D202" s="2">
        <v>50</v>
      </c>
      <c r="E202" s="2">
        <v>87</v>
      </c>
      <c r="F202" s="2">
        <v>21</v>
      </c>
      <c r="G202" s="3">
        <v>137</v>
      </c>
      <c r="H202" s="4">
        <v>108</v>
      </c>
      <c r="I202" s="5">
        <v>57</v>
      </c>
      <c r="J202" s="2">
        <f t="shared" si="3"/>
        <v>302</v>
      </c>
      <c r="M202" s="12"/>
      <c r="P202" s="6" t="s">
        <v>1562</v>
      </c>
    </row>
    <row r="203" ht="17" spans="1:16">
      <c r="A203" s="1" t="s">
        <v>1563</v>
      </c>
      <c r="B203" s="214"/>
      <c r="C203" s="2">
        <v>64</v>
      </c>
      <c r="D203" s="2">
        <v>52</v>
      </c>
      <c r="E203" s="2">
        <v>39</v>
      </c>
      <c r="F203" s="2">
        <v>28</v>
      </c>
      <c r="G203" s="3">
        <v>94</v>
      </c>
      <c r="H203" s="4">
        <v>97</v>
      </c>
      <c r="I203" s="5">
        <v>109</v>
      </c>
      <c r="J203" s="2">
        <f t="shared" ref="J203:J222" si="4">G203+H203+I203</f>
        <v>300</v>
      </c>
      <c r="L203" s="17"/>
      <c r="M203" s="2"/>
    </row>
    <row r="204" ht="51" spans="1:16">
      <c r="A204" s="1" t="s">
        <v>1564</v>
      </c>
      <c r="B204" s="215"/>
      <c r="C204" s="2">
        <v>60</v>
      </c>
      <c r="D204" s="2">
        <v>55</v>
      </c>
      <c r="E204" s="2">
        <v>75</v>
      </c>
      <c r="F204" s="2">
        <v>10</v>
      </c>
      <c r="G204" s="3">
        <v>117</v>
      </c>
      <c r="H204" s="4">
        <v>108</v>
      </c>
      <c r="I204" s="5">
        <v>75</v>
      </c>
      <c r="J204" s="2">
        <f t="shared" si="4"/>
        <v>300</v>
      </c>
      <c r="K204" s="12" t="s">
        <v>60</v>
      </c>
      <c r="P204" s="6" t="s">
        <v>1565</v>
      </c>
    </row>
    <row r="205" ht="51" spans="1:16">
      <c r="A205" s="1" t="s">
        <v>1566</v>
      </c>
      <c r="B205" s="216"/>
      <c r="C205" s="2">
        <v>70</v>
      </c>
      <c r="D205" s="2">
        <v>55</v>
      </c>
      <c r="E205" s="2">
        <v>45</v>
      </c>
      <c r="F205" s="2">
        <v>15</v>
      </c>
      <c r="G205" s="3">
        <v>87</v>
      </c>
      <c r="H205" s="4">
        <v>100</v>
      </c>
      <c r="I205" s="5">
        <v>112</v>
      </c>
      <c r="J205" s="2">
        <f t="shared" si="4"/>
        <v>299</v>
      </c>
      <c r="K205" s="12"/>
      <c r="P205" s="6" t="s">
        <v>1567</v>
      </c>
    </row>
    <row r="206" ht="152" spans="1:16">
      <c r="A206" s="1" t="s">
        <v>1568</v>
      </c>
      <c r="B206" s="217"/>
      <c r="C206" s="2">
        <v>45</v>
      </c>
      <c r="D206" s="2">
        <v>38</v>
      </c>
      <c r="E206" s="2">
        <v>0</v>
      </c>
      <c r="F206" s="2">
        <v>55</v>
      </c>
      <c r="G206" s="3">
        <v>88</v>
      </c>
      <c r="H206" s="4">
        <v>88</v>
      </c>
      <c r="I206" s="5">
        <v>120</v>
      </c>
      <c r="J206" s="2">
        <f t="shared" si="4"/>
        <v>296</v>
      </c>
      <c r="M206" s="2"/>
      <c r="O206" s="9"/>
      <c r="P206" s="10" t="s">
        <v>1569</v>
      </c>
    </row>
    <row r="207" ht="17" spans="1:16">
      <c r="A207" s="1" t="s">
        <v>1570</v>
      </c>
      <c r="B207" s="218"/>
      <c r="C207" s="2">
        <v>49</v>
      </c>
      <c r="D207" s="2">
        <v>50</v>
      </c>
      <c r="E207" s="2">
        <v>70</v>
      </c>
      <c r="F207" s="2">
        <v>24</v>
      </c>
      <c r="G207" s="3">
        <v>117</v>
      </c>
      <c r="H207" s="4">
        <v>102</v>
      </c>
      <c r="I207" s="5">
        <v>77</v>
      </c>
      <c r="J207" s="2">
        <f t="shared" si="4"/>
        <v>296</v>
      </c>
      <c r="M207" s="12"/>
      <c r="P207" s="6" t="s">
        <v>1571</v>
      </c>
    </row>
    <row r="208" ht="17" spans="1:16">
      <c r="A208" s="1" t="s">
        <v>1572</v>
      </c>
      <c r="B208" s="219"/>
      <c r="C208" s="2">
        <v>60</v>
      </c>
      <c r="D208" s="2">
        <v>70</v>
      </c>
      <c r="E208" s="2">
        <v>55</v>
      </c>
      <c r="F208" s="2">
        <v>10</v>
      </c>
      <c r="G208" s="3">
        <v>118</v>
      </c>
      <c r="H208" s="4">
        <v>85</v>
      </c>
      <c r="I208" s="5">
        <v>93</v>
      </c>
      <c r="J208" s="2">
        <f t="shared" si="4"/>
        <v>296</v>
      </c>
      <c r="K208" s="12"/>
      <c r="P208" s="6" t="s">
        <v>1573</v>
      </c>
    </row>
    <row r="209" ht="135" spans="1:16">
      <c r="A209" s="1" t="s">
        <v>1574</v>
      </c>
      <c r="B209" s="220"/>
      <c r="C209" s="2">
        <v>0</v>
      </c>
      <c r="D209" s="2">
        <v>55</v>
      </c>
      <c r="E209" s="2">
        <v>60</v>
      </c>
      <c r="F209" s="2">
        <v>50</v>
      </c>
      <c r="G209" s="3">
        <v>151</v>
      </c>
      <c r="H209" s="4">
        <v>87</v>
      </c>
      <c r="I209" s="5">
        <v>56</v>
      </c>
      <c r="J209" s="2">
        <f t="shared" si="4"/>
        <v>294</v>
      </c>
      <c r="M209" s="12" t="s">
        <v>1575</v>
      </c>
      <c r="O209" s="9"/>
      <c r="P209" s="6" t="s">
        <v>1576</v>
      </c>
    </row>
    <row r="210" ht="17" spans="1:16">
      <c r="A210" s="1" t="s">
        <v>1577</v>
      </c>
      <c r="B210" s="221"/>
      <c r="C210" s="2">
        <v>41</v>
      </c>
      <c r="D210" s="2">
        <v>64</v>
      </c>
      <c r="E210" s="2">
        <v>44</v>
      </c>
      <c r="F210" s="2">
        <v>36</v>
      </c>
      <c r="G210" s="3">
        <v>115</v>
      </c>
      <c r="H210" s="4">
        <v>87</v>
      </c>
      <c r="I210" s="5">
        <v>92</v>
      </c>
      <c r="J210" s="2">
        <f t="shared" si="4"/>
        <v>294</v>
      </c>
      <c r="L210" s="17"/>
    </row>
    <row r="211" ht="17" spans="1:16">
      <c r="A211" s="1" t="s">
        <v>1578</v>
      </c>
      <c r="B211" s="222"/>
      <c r="C211" s="2">
        <v>16</v>
      </c>
      <c r="D211" s="2">
        <v>77</v>
      </c>
      <c r="E211" s="2">
        <v>100</v>
      </c>
      <c r="F211" s="2">
        <v>6</v>
      </c>
      <c r="G211" s="3">
        <v>183</v>
      </c>
      <c r="H211" s="4">
        <v>81</v>
      </c>
      <c r="I211" s="5">
        <v>29</v>
      </c>
      <c r="J211" s="2">
        <f t="shared" si="4"/>
        <v>293</v>
      </c>
      <c r="L211" s="17"/>
    </row>
    <row r="212" ht="17" spans="1:16">
      <c r="A212" s="1" t="s">
        <v>1579</v>
      </c>
      <c r="B212" s="223"/>
      <c r="C212" s="2">
        <v>18</v>
      </c>
      <c r="D212" s="2">
        <v>80</v>
      </c>
      <c r="E212" s="2">
        <v>92</v>
      </c>
      <c r="F212" s="2">
        <v>7</v>
      </c>
      <c r="G212" s="3">
        <v>177</v>
      </c>
      <c r="H212" s="4">
        <v>75</v>
      </c>
      <c r="I212" s="5">
        <v>40</v>
      </c>
      <c r="J212" s="2">
        <f t="shared" si="4"/>
        <v>292</v>
      </c>
      <c r="L212" s="17"/>
    </row>
    <row r="213" ht="17" spans="1:16">
      <c r="A213" s="1" t="s">
        <v>1580</v>
      </c>
      <c r="B213" s="224"/>
      <c r="C213" s="2">
        <v>55</v>
      </c>
      <c r="D213" s="2">
        <v>60</v>
      </c>
      <c r="E213" s="2">
        <v>85</v>
      </c>
      <c r="F213" s="2">
        <v>10</v>
      </c>
      <c r="G213" s="3">
        <v>129</v>
      </c>
      <c r="H213" s="4">
        <v>102</v>
      </c>
      <c r="I213" s="5">
        <v>59</v>
      </c>
      <c r="J213" s="2">
        <f t="shared" si="4"/>
        <v>290</v>
      </c>
      <c r="K213" s="12"/>
      <c r="P213" s="6" t="s">
        <v>1581</v>
      </c>
    </row>
    <row r="214" ht="17" spans="1:16">
      <c r="A214" s="1" t="s">
        <v>1582</v>
      </c>
      <c r="B214" s="225"/>
      <c r="C214" s="2">
        <v>62</v>
      </c>
      <c r="D214" s="2">
        <v>43</v>
      </c>
      <c r="E214" s="2">
        <v>52</v>
      </c>
      <c r="F214" s="2">
        <v>34</v>
      </c>
      <c r="G214" s="3">
        <v>93</v>
      </c>
      <c r="H214" s="4">
        <v>101</v>
      </c>
      <c r="I214" s="5">
        <v>95</v>
      </c>
      <c r="J214" s="2">
        <f t="shared" si="4"/>
        <v>289</v>
      </c>
      <c r="L214" s="17"/>
    </row>
    <row r="215" ht="17" spans="1:16">
      <c r="A215" s="1" t="s">
        <v>1583</v>
      </c>
      <c r="B215" s="226"/>
      <c r="C215" s="2">
        <v>27</v>
      </c>
      <c r="D215" s="2">
        <v>60</v>
      </c>
      <c r="E215" s="2">
        <v>97</v>
      </c>
      <c r="F215" s="2">
        <v>21</v>
      </c>
      <c r="G215" s="3">
        <v>152</v>
      </c>
      <c r="H215" s="4">
        <v>101</v>
      </c>
      <c r="I215" s="5">
        <v>36</v>
      </c>
      <c r="J215" s="2">
        <f t="shared" si="4"/>
        <v>289</v>
      </c>
      <c r="L215" s="17"/>
      <c r="M215" s="2"/>
    </row>
    <row r="216" ht="17" spans="1:16">
      <c r="A216" s="1" t="s">
        <v>1584</v>
      </c>
      <c r="B216" s="227"/>
      <c r="C216" s="2">
        <v>27</v>
      </c>
      <c r="D216" s="2">
        <v>69</v>
      </c>
      <c r="E216" s="2">
        <v>85</v>
      </c>
      <c r="F216" s="2">
        <v>22</v>
      </c>
      <c r="G216" s="3">
        <v>148</v>
      </c>
      <c r="H216" s="4">
        <v>88</v>
      </c>
      <c r="I216" s="5">
        <v>51</v>
      </c>
      <c r="J216" s="2">
        <f t="shared" si="4"/>
        <v>287</v>
      </c>
      <c r="L216" s="17"/>
    </row>
    <row r="217" ht="17" spans="1:16">
      <c r="A217" s="1" t="s">
        <v>1585</v>
      </c>
      <c r="B217" s="228"/>
      <c r="C217" s="2">
        <v>50</v>
      </c>
      <c r="D217" s="2">
        <v>75</v>
      </c>
      <c r="E217" s="2">
        <v>90</v>
      </c>
      <c r="F217" s="2">
        <v>0</v>
      </c>
      <c r="G217" s="3">
        <v>148</v>
      </c>
      <c r="H217" s="4">
        <v>86</v>
      </c>
      <c r="I217" s="5">
        <v>53</v>
      </c>
      <c r="J217" s="2">
        <f t="shared" si="4"/>
        <v>287</v>
      </c>
      <c r="K217" s="12" t="s">
        <v>60</v>
      </c>
      <c r="P217" s="6" t="s">
        <v>1586</v>
      </c>
    </row>
    <row r="218" ht="17" spans="1:16">
      <c r="A218" s="1" t="s">
        <v>1587</v>
      </c>
      <c r="B218" s="229"/>
      <c r="C218" s="2">
        <v>27</v>
      </c>
      <c r="D218" s="2">
        <v>57</v>
      </c>
      <c r="E218" s="2">
        <v>100</v>
      </c>
      <c r="F218" s="2">
        <v>11</v>
      </c>
      <c r="G218" s="3">
        <v>174</v>
      </c>
      <c r="H218" s="4">
        <v>112</v>
      </c>
      <c r="I218" s="5">
        <v>0</v>
      </c>
      <c r="J218" s="2">
        <f t="shared" si="4"/>
        <v>286</v>
      </c>
      <c r="M218" s="12"/>
      <c r="P218" s="6" t="s">
        <v>1588</v>
      </c>
    </row>
    <row r="219" ht="17" spans="1:16">
      <c r="A219" s="1" t="s">
        <v>1589</v>
      </c>
      <c r="B219" s="230"/>
      <c r="C219" s="2">
        <v>55</v>
      </c>
      <c r="D219" s="2">
        <v>60</v>
      </c>
      <c r="E219" s="2">
        <v>80</v>
      </c>
      <c r="F219" s="2">
        <v>15</v>
      </c>
      <c r="G219" s="3">
        <v>124</v>
      </c>
      <c r="H219" s="4">
        <v>98</v>
      </c>
      <c r="I219" s="5">
        <v>63</v>
      </c>
      <c r="J219" s="2">
        <f t="shared" si="4"/>
        <v>285</v>
      </c>
      <c r="K219" s="12"/>
      <c r="P219" s="6" t="s">
        <v>1590</v>
      </c>
    </row>
    <row r="220" ht="17" spans="1:16">
      <c r="A220" s="1" t="s">
        <v>1591</v>
      </c>
      <c r="B220" s="231"/>
      <c r="C220" s="2">
        <v>36</v>
      </c>
      <c r="D220" s="2">
        <v>42</v>
      </c>
      <c r="E220" s="2">
        <v>100</v>
      </c>
      <c r="F220" s="2">
        <v>29</v>
      </c>
      <c r="G220" s="3">
        <v>136</v>
      </c>
      <c r="H220" s="4">
        <v>115</v>
      </c>
      <c r="I220" s="5">
        <v>34</v>
      </c>
      <c r="J220" s="2">
        <f t="shared" si="4"/>
        <v>285</v>
      </c>
      <c r="L220" s="17"/>
      <c r="M220" s="2"/>
      <c r="N220" s="14"/>
      <c r="P220" s="6" t="s">
        <v>1592</v>
      </c>
    </row>
    <row r="221" ht="68" spans="1:16">
      <c r="A221" s="232" t="s">
        <v>1593</v>
      </c>
      <c r="B221" s="233"/>
      <c r="C221" s="2">
        <v>40</v>
      </c>
      <c r="D221" s="2">
        <v>75</v>
      </c>
      <c r="E221" s="2">
        <v>85</v>
      </c>
      <c r="F221" s="2">
        <v>15</v>
      </c>
      <c r="G221" s="3">
        <v>152</v>
      </c>
      <c r="H221" s="4">
        <v>79</v>
      </c>
      <c r="I221" s="5">
        <v>49</v>
      </c>
      <c r="J221" s="2">
        <f t="shared" si="4"/>
        <v>280</v>
      </c>
      <c r="K221" s="12" t="s">
        <v>60</v>
      </c>
      <c r="P221" s="6" t="s">
        <v>1594</v>
      </c>
    </row>
    <row r="222" ht="34" spans="1:16">
      <c r="A222" s="1" t="s">
        <v>1595</v>
      </c>
      <c r="B222" s="234"/>
      <c r="C222" s="2">
        <v>65</v>
      </c>
      <c r="D222" s="2">
        <v>70</v>
      </c>
      <c r="E222" s="2">
        <v>60</v>
      </c>
      <c r="F222" s="2">
        <v>10</v>
      </c>
      <c r="G222" s="3">
        <v>107</v>
      </c>
      <c r="H222" s="4">
        <v>84</v>
      </c>
      <c r="I222" s="5">
        <v>88</v>
      </c>
      <c r="J222" s="2">
        <f t="shared" si="4"/>
        <v>279</v>
      </c>
      <c r="K222" s="12"/>
      <c r="P222" s="6" t="s">
        <v>1596</v>
      </c>
    </row>
    <row r="223" ht="51" spans="1:16">
      <c r="A223" s="1" t="s">
        <v>1597</v>
      </c>
      <c r="B223" s="235"/>
      <c r="M223" s="2"/>
      <c r="N223" s="14"/>
      <c r="P223" s="6" t="s">
        <v>1598</v>
      </c>
    </row>
    <row r="224" ht="17" spans="1:16">
      <c r="A224" s="1" t="s">
        <v>754</v>
      </c>
      <c r="B224" s="236"/>
      <c r="C224" s="2">
        <v>34</v>
      </c>
      <c r="D224" s="2">
        <v>52</v>
      </c>
      <c r="E224" s="2">
        <v>85</v>
      </c>
      <c r="F224" s="2">
        <v>35</v>
      </c>
      <c r="G224" s="3">
        <v>128</v>
      </c>
      <c r="H224" s="4">
        <v>99</v>
      </c>
      <c r="I224" s="5">
        <v>50</v>
      </c>
      <c r="J224" s="2">
        <f t="shared" ref="J224:J264" si="5">G224+H224+I224</f>
        <v>277</v>
      </c>
      <c r="L224" s="17"/>
      <c r="M224" s="2"/>
    </row>
    <row r="225" ht="17" spans="1:16">
      <c r="A225" s="1" t="s">
        <v>1599</v>
      </c>
      <c r="B225" s="237"/>
      <c r="C225" s="2">
        <v>55</v>
      </c>
      <c r="D225" s="2">
        <v>65</v>
      </c>
      <c r="E225" s="2">
        <v>80</v>
      </c>
      <c r="F225" s="2">
        <v>15</v>
      </c>
      <c r="G225" s="3">
        <v>124</v>
      </c>
      <c r="H225" s="4">
        <v>91</v>
      </c>
      <c r="I225" s="5">
        <v>62</v>
      </c>
      <c r="J225" s="2">
        <f t="shared" si="5"/>
        <v>277</v>
      </c>
      <c r="K225" s="12"/>
      <c r="P225" s="6" t="s">
        <v>1600</v>
      </c>
    </row>
    <row r="226" ht="17" spans="1:16">
      <c r="A226" s="1" t="s">
        <v>1601</v>
      </c>
      <c r="B226" s="238"/>
      <c r="C226" s="2">
        <v>56</v>
      </c>
      <c r="D226" s="2">
        <v>59</v>
      </c>
      <c r="E226" s="2">
        <v>54</v>
      </c>
      <c r="F226" s="2">
        <v>28</v>
      </c>
      <c r="G226" s="3">
        <v>102</v>
      </c>
      <c r="H226" s="4">
        <v>87</v>
      </c>
      <c r="I226" s="5">
        <v>87</v>
      </c>
      <c r="J226" s="2">
        <f t="shared" si="5"/>
        <v>276</v>
      </c>
      <c r="M226" s="12"/>
      <c r="P226" s="6" t="s">
        <v>1602</v>
      </c>
    </row>
    <row r="227" ht="185" spans="1:16">
      <c r="A227" s="1" t="s">
        <v>1603</v>
      </c>
      <c r="B227" s="239"/>
      <c r="C227" s="2">
        <v>0</v>
      </c>
      <c r="D227" s="2">
        <v>60</v>
      </c>
      <c r="E227" s="2">
        <v>60</v>
      </c>
      <c r="F227" s="2">
        <v>37</v>
      </c>
      <c r="G227" s="3">
        <v>176</v>
      </c>
      <c r="H227" s="4">
        <v>95</v>
      </c>
      <c r="I227" s="5">
        <v>66</v>
      </c>
      <c r="J227" s="2">
        <f t="shared" si="5"/>
        <v>337</v>
      </c>
      <c r="K227" s="12" t="s">
        <v>1604</v>
      </c>
      <c r="N227" s="14"/>
      <c r="P227" s="6" t="s">
        <v>1605</v>
      </c>
    </row>
    <row r="228" ht="17" spans="1:16">
      <c r="A228" s="1" t="s">
        <v>1606</v>
      </c>
      <c r="B228" s="240"/>
      <c r="C228" s="2">
        <v>65</v>
      </c>
      <c r="D228" s="2">
        <v>60</v>
      </c>
      <c r="E228" s="2">
        <v>70</v>
      </c>
      <c r="F228" s="2">
        <v>15</v>
      </c>
      <c r="G228" s="3">
        <v>102</v>
      </c>
      <c r="H228" s="4">
        <v>95</v>
      </c>
      <c r="I228" s="5">
        <v>77</v>
      </c>
      <c r="J228" s="2">
        <f t="shared" si="5"/>
        <v>274</v>
      </c>
      <c r="K228" s="12" t="s">
        <v>60</v>
      </c>
      <c r="P228" s="6" t="s">
        <v>1607</v>
      </c>
    </row>
    <row r="229" ht="17" spans="1:16">
      <c r="A229" s="1" t="s">
        <v>1608</v>
      </c>
      <c r="B229" s="241"/>
      <c r="C229" s="2">
        <v>47</v>
      </c>
      <c r="D229" s="2">
        <v>47</v>
      </c>
      <c r="E229" s="2">
        <v>65</v>
      </c>
      <c r="F229" s="2">
        <v>42</v>
      </c>
      <c r="G229" s="3">
        <v>104</v>
      </c>
      <c r="H229" s="4">
        <v>94</v>
      </c>
      <c r="I229" s="5">
        <v>72</v>
      </c>
      <c r="J229" s="2">
        <f t="shared" si="5"/>
        <v>270</v>
      </c>
      <c r="L229" s="17"/>
      <c r="M229" s="2"/>
    </row>
    <row r="230" ht="17" spans="1:16">
      <c r="A230" s="1" t="s">
        <v>1609</v>
      </c>
      <c r="B230" s="242"/>
      <c r="C230" s="2">
        <v>77</v>
      </c>
      <c r="D230" s="2">
        <v>50</v>
      </c>
      <c r="E230" s="2">
        <v>41</v>
      </c>
      <c r="F230" s="2">
        <v>31</v>
      </c>
      <c r="G230" s="3">
        <v>73</v>
      </c>
      <c r="H230" s="4">
        <v>92</v>
      </c>
      <c r="I230" s="5">
        <v>105</v>
      </c>
      <c r="J230" s="2">
        <f t="shared" si="5"/>
        <v>270</v>
      </c>
      <c r="L230" s="17"/>
      <c r="M230" s="2"/>
    </row>
    <row r="231" ht="17" spans="1:16">
      <c r="A231" s="1" t="s">
        <v>1610</v>
      </c>
      <c r="B231" s="243"/>
      <c r="C231" s="2">
        <v>36</v>
      </c>
      <c r="D231" s="2">
        <v>42</v>
      </c>
      <c r="E231" s="2">
        <v>100</v>
      </c>
      <c r="F231" s="2">
        <v>30</v>
      </c>
      <c r="G231" s="3">
        <v>134</v>
      </c>
      <c r="H231" s="4">
        <v>112</v>
      </c>
      <c r="I231" s="5">
        <v>24</v>
      </c>
      <c r="J231" s="2">
        <f t="shared" si="5"/>
        <v>270</v>
      </c>
      <c r="L231" s="17"/>
      <c r="M231" s="2"/>
    </row>
    <row r="232" ht="17" spans="1:16">
      <c r="A232" s="1" t="s">
        <v>1611</v>
      </c>
      <c r="B232" s="244"/>
      <c r="C232" s="2">
        <v>46</v>
      </c>
      <c r="D232" s="2">
        <v>47</v>
      </c>
      <c r="E232" s="2">
        <v>69</v>
      </c>
      <c r="F232" s="2">
        <v>42</v>
      </c>
      <c r="G232" s="3">
        <v>105</v>
      </c>
      <c r="H232" s="4">
        <v>94</v>
      </c>
      <c r="I232" s="5">
        <v>69</v>
      </c>
      <c r="J232" s="2">
        <f t="shared" si="5"/>
        <v>268</v>
      </c>
      <c r="L232" s="17"/>
      <c r="M232" s="2"/>
    </row>
    <row r="233" ht="68" spans="1:16">
      <c r="A233" s="1" t="s">
        <v>1612</v>
      </c>
      <c r="B233" s="245"/>
      <c r="C233" s="2">
        <v>55</v>
      </c>
      <c r="D233" s="2">
        <v>80</v>
      </c>
      <c r="E233" s="2">
        <v>65</v>
      </c>
      <c r="F233" s="2">
        <v>15</v>
      </c>
      <c r="G233" s="3">
        <v>124</v>
      </c>
      <c r="H233" s="4">
        <v>68</v>
      </c>
      <c r="I233" s="5">
        <v>73</v>
      </c>
      <c r="J233" s="2">
        <f t="shared" si="5"/>
        <v>265</v>
      </c>
      <c r="K233" s="12"/>
      <c r="P233" s="6" t="s">
        <v>1613</v>
      </c>
    </row>
    <row r="234" ht="17" spans="1:16">
      <c r="A234" s="1" t="s">
        <v>1614</v>
      </c>
      <c r="B234" s="246"/>
      <c r="C234" s="2">
        <v>28</v>
      </c>
      <c r="D234" s="2">
        <v>76</v>
      </c>
      <c r="E234" s="2">
        <v>82</v>
      </c>
      <c r="F234" s="2">
        <v>26</v>
      </c>
      <c r="G234" s="3">
        <v>140</v>
      </c>
      <c r="H234" s="4">
        <v>75</v>
      </c>
      <c r="I234" s="5">
        <v>49</v>
      </c>
      <c r="J234" s="2">
        <f t="shared" si="5"/>
        <v>264</v>
      </c>
      <c r="L234" s="17"/>
    </row>
    <row r="235" ht="17" spans="1:16">
      <c r="A235" s="1" t="s">
        <v>1615</v>
      </c>
      <c r="B235" s="247"/>
      <c r="C235" s="2">
        <v>32</v>
      </c>
      <c r="D235" s="2">
        <v>50</v>
      </c>
      <c r="E235" s="2">
        <v>100</v>
      </c>
      <c r="F235" s="2">
        <v>31</v>
      </c>
      <c r="G235" s="3">
        <v>135</v>
      </c>
      <c r="H235" s="4">
        <v>104</v>
      </c>
      <c r="I235" s="5">
        <v>24</v>
      </c>
      <c r="J235" s="2">
        <f t="shared" si="5"/>
        <v>263</v>
      </c>
      <c r="L235" s="17"/>
      <c r="M235" s="2"/>
    </row>
    <row r="236" ht="17" spans="1:16">
      <c r="A236" s="1" t="s">
        <v>1616</v>
      </c>
      <c r="B236" s="248"/>
      <c r="C236" s="2">
        <v>31</v>
      </c>
      <c r="D236" s="2">
        <v>51</v>
      </c>
      <c r="E236" s="2">
        <v>100</v>
      </c>
      <c r="F236" s="2">
        <v>30</v>
      </c>
      <c r="G236" s="3">
        <v>138</v>
      </c>
      <c r="H236" s="4">
        <v>105</v>
      </c>
      <c r="I236" s="5">
        <v>19</v>
      </c>
      <c r="J236" s="2">
        <f t="shared" si="5"/>
        <v>262</v>
      </c>
      <c r="L236" s="17"/>
      <c r="M236" s="2"/>
    </row>
    <row r="237" ht="84" spans="1:16">
      <c r="A237" s="1" t="s">
        <v>1617</v>
      </c>
      <c r="B237" s="249"/>
      <c r="C237" s="2">
        <v>60</v>
      </c>
      <c r="D237" s="2">
        <v>60</v>
      </c>
      <c r="E237" s="2">
        <v>80</v>
      </c>
      <c r="F237" s="2">
        <v>20</v>
      </c>
      <c r="G237" s="3">
        <v>109</v>
      </c>
      <c r="H237" s="4">
        <v>92</v>
      </c>
      <c r="I237" s="5">
        <v>61</v>
      </c>
      <c r="J237" s="2">
        <f t="shared" si="5"/>
        <v>262</v>
      </c>
      <c r="K237" s="12"/>
      <c r="P237" s="6" t="s">
        <v>1618</v>
      </c>
    </row>
    <row r="238" ht="17" spans="1:16">
      <c r="A238" s="1" t="s">
        <v>1619</v>
      </c>
      <c r="B238" s="250"/>
      <c r="C238" s="2">
        <v>32</v>
      </c>
      <c r="D238" s="2">
        <v>56</v>
      </c>
      <c r="E238" s="2">
        <v>96</v>
      </c>
      <c r="F238" s="2">
        <v>34</v>
      </c>
      <c r="G238" s="3">
        <v>129</v>
      </c>
      <c r="H238" s="4">
        <v>95</v>
      </c>
      <c r="I238" s="5">
        <v>37</v>
      </c>
      <c r="J238" s="2">
        <f t="shared" si="5"/>
        <v>261</v>
      </c>
      <c r="L238" s="17"/>
      <c r="M238" s="2"/>
    </row>
    <row r="239" ht="17" spans="1:16">
      <c r="A239" s="1" t="s">
        <v>1620</v>
      </c>
      <c r="B239" s="251"/>
      <c r="C239" s="2">
        <v>26</v>
      </c>
      <c r="D239" s="2">
        <v>76</v>
      </c>
      <c r="E239" s="2">
        <v>97</v>
      </c>
      <c r="F239" s="2">
        <v>20</v>
      </c>
      <c r="G239" s="3">
        <v>150</v>
      </c>
      <c r="H239" s="4">
        <v>77</v>
      </c>
      <c r="I239" s="5">
        <v>34</v>
      </c>
      <c r="J239" s="2">
        <f t="shared" si="5"/>
        <v>261</v>
      </c>
      <c r="L239" s="17"/>
    </row>
    <row r="240" ht="34" spans="1:16">
      <c r="A240" s="1" t="s">
        <v>1621</v>
      </c>
      <c r="B240" s="252"/>
      <c r="C240" s="2">
        <v>70</v>
      </c>
      <c r="D240" s="2">
        <v>70</v>
      </c>
      <c r="E240" s="2">
        <v>60</v>
      </c>
      <c r="F240" s="2">
        <v>15</v>
      </c>
      <c r="G240" s="3">
        <v>92</v>
      </c>
      <c r="H240" s="4">
        <v>79</v>
      </c>
      <c r="I240" s="5">
        <v>85</v>
      </c>
      <c r="J240" s="2">
        <f t="shared" si="5"/>
        <v>256</v>
      </c>
      <c r="K240" s="12"/>
      <c r="P240" s="6" t="s">
        <v>1622</v>
      </c>
    </row>
    <row r="241" ht="17" spans="1:16">
      <c r="A241" s="1" t="s">
        <v>1623</v>
      </c>
      <c r="B241" s="253"/>
      <c r="C241" s="2">
        <v>31</v>
      </c>
      <c r="D241" s="2">
        <v>57</v>
      </c>
      <c r="E241" s="2">
        <v>100</v>
      </c>
      <c r="F241" s="2">
        <v>33</v>
      </c>
      <c r="G241" s="3">
        <v>131</v>
      </c>
      <c r="H241" s="4">
        <v>94</v>
      </c>
      <c r="I241" s="5">
        <v>29</v>
      </c>
      <c r="J241" s="2">
        <f t="shared" si="5"/>
        <v>254</v>
      </c>
      <c r="L241" s="17"/>
      <c r="M241" s="2"/>
    </row>
    <row r="242" ht="17" spans="1:16">
      <c r="A242" s="1" t="s">
        <v>1624</v>
      </c>
      <c r="B242" s="254"/>
      <c r="C242" s="2">
        <v>78</v>
      </c>
      <c r="D242" s="2">
        <v>60</v>
      </c>
      <c r="E242" s="2">
        <v>40</v>
      </c>
      <c r="F242" s="2">
        <v>31</v>
      </c>
      <c r="G242" s="3">
        <v>71</v>
      </c>
      <c r="H242" s="4">
        <v>81</v>
      </c>
      <c r="I242" s="5">
        <v>100</v>
      </c>
      <c r="J242" s="2">
        <f t="shared" si="5"/>
        <v>252</v>
      </c>
      <c r="L242" s="17"/>
    </row>
    <row r="243" ht="17" spans="1:16">
      <c r="A243" s="1" t="s">
        <v>1625</v>
      </c>
      <c r="B243" s="255"/>
      <c r="C243" s="2">
        <v>65</v>
      </c>
      <c r="D243" s="2">
        <v>65</v>
      </c>
      <c r="E243" s="2">
        <v>50</v>
      </c>
      <c r="F243" s="2">
        <v>30</v>
      </c>
      <c r="G243" s="3">
        <v>89</v>
      </c>
      <c r="H243" s="4">
        <v>76</v>
      </c>
      <c r="I243" s="5">
        <v>87</v>
      </c>
      <c r="J243" s="2">
        <f t="shared" si="5"/>
        <v>252</v>
      </c>
      <c r="K243" s="12"/>
      <c r="P243" s="6" t="s">
        <v>1626</v>
      </c>
    </row>
    <row r="244" ht="34" spans="1:16">
      <c r="A244" s="232" t="s">
        <v>1627</v>
      </c>
      <c r="B244" s="256"/>
      <c r="C244" s="2">
        <v>60</v>
      </c>
      <c r="D244" s="2">
        <v>80</v>
      </c>
      <c r="E244" s="2">
        <v>100</v>
      </c>
      <c r="F244" s="2">
        <v>0</v>
      </c>
      <c r="G244" s="3">
        <v>128</v>
      </c>
      <c r="H244" s="4">
        <v>76</v>
      </c>
      <c r="I244" s="5">
        <v>46</v>
      </c>
      <c r="J244" s="2">
        <f t="shared" si="5"/>
        <v>250</v>
      </c>
      <c r="K244" s="12" t="s">
        <v>60</v>
      </c>
      <c r="P244" s="6" t="s">
        <v>1628</v>
      </c>
    </row>
    <row r="245" ht="34" spans="1:16">
      <c r="A245" s="1" t="s">
        <v>1629</v>
      </c>
      <c r="B245" s="257"/>
      <c r="C245" s="2">
        <v>50</v>
      </c>
      <c r="D245" s="2">
        <v>75</v>
      </c>
      <c r="E245" s="2">
        <v>90</v>
      </c>
      <c r="F245" s="2">
        <v>20</v>
      </c>
      <c r="G245" s="3">
        <v>129</v>
      </c>
      <c r="H245" s="4">
        <v>73</v>
      </c>
      <c r="I245" s="5">
        <v>44</v>
      </c>
      <c r="J245" s="2">
        <f t="shared" si="5"/>
        <v>246</v>
      </c>
      <c r="K245" s="12"/>
      <c r="P245" s="6" t="s">
        <v>1630</v>
      </c>
    </row>
    <row r="246" ht="17" spans="1:16">
      <c r="A246" s="1" t="s">
        <v>1631</v>
      </c>
      <c r="B246" s="258"/>
      <c r="C246" s="2">
        <v>46</v>
      </c>
      <c r="D246" s="2">
        <v>44</v>
      </c>
      <c r="E246" s="2">
        <v>100</v>
      </c>
      <c r="F246" s="2">
        <v>19</v>
      </c>
      <c r="G246" s="3">
        <v>130</v>
      </c>
      <c r="H246" s="4">
        <v>113</v>
      </c>
      <c r="I246" s="5">
        <v>0</v>
      </c>
      <c r="J246" s="2">
        <f t="shared" si="5"/>
        <v>243</v>
      </c>
      <c r="M246" s="12"/>
      <c r="P246" s="6" t="s">
        <v>1632</v>
      </c>
    </row>
    <row r="247" ht="34" spans="1:16">
      <c r="A247" s="1" t="s">
        <v>1633</v>
      </c>
      <c r="B247" s="259"/>
      <c r="C247" s="2">
        <v>70</v>
      </c>
      <c r="D247" s="2">
        <v>65</v>
      </c>
      <c r="E247" s="2">
        <v>70</v>
      </c>
      <c r="F247" s="2">
        <v>20</v>
      </c>
      <c r="G247" s="3">
        <v>88</v>
      </c>
      <c r="H247" s="4">
        <v>82</v>
      </c>
      <c r="I247" s="5">
        <v>72</v>
      </c>
      <c r="J247" s="2">
        <f t="shared" si="5"/>
        <v>242</v>
      </c>
      <c r="K247" s="12"/>
      <c r="P247" s="6" t="s">
        <v>1634</v>
      </c>
    </row>
    <row r="248" ht="34" spans="1:16">
      <c r="A248" s="1" t="s">
        <v>1635</v>
      </c>
      <c r="B248" s="260"/>
      <c r="C248" s="2">
        <v>55</v>
      </c>
      <c r="D248" s="2">
        <v>75</v>
      </c>
      <c r="E248" s="2">
        <v>75</v>
      </c>
      <c r="F248" s="2">
        <v>25</v>
      </c>
      <c r="G248" s="3">
        <v>114</v>
      </c>
      <c r="H248" s="4">
        <v>69</v>
      </c>
      <c r="I248" s="5">
        <v>58</v>
      </c>
      <c r="J248" s="2">
        <f t="shared" si="5"/>
        <v>241</v>
      </c>
      <c r="K248" s="12"/>
      <c r="P248" s="6" t="s">
        <v>1636</v>
      </c>
    </row>
    <row r="249" ht="17" spans="1:16">
      <c r="A249" s="1" t="s">
        <v>1637</v>
      </c>
      <c r="B249" s="261"/>
      <c r="C249" s="2">
        <v>54</v>
      </c>
      <c r="D249" s="2">
        <v>55</v>
      </c>
      <c r="E249" s="2">
        <v>73</v>
      </c>
      <c r="F249" s="2">
        <v>38</v>
      </c>
      <c r="G249" s="3">
        <v>106</v>
      </c>
      <c r="H249" s="4">
        <v>80</v>
      </c>
      <c r="I249" s="5">
        <v>55</v>
      </c>
      <c r="J249" s="2">
        <f t="shared" si="5"/>
        <v>241</v>
      </c>
      <c r="M249" s="12"/>
      <c r="N249" s="14"/>
      <c r="P249" s="6" t="s">
        <v>1638</v>
      </c>
    </row>
    <row r="250" ht="17" spans="1:16">
      <c r="A250" s="1" t="s">
        <v>1639</v>
      </c>
      <c r="B250" s="262"/>
      <c r="C250" s="2">
        <v>60</v>
      </c>
      <c r="D250" s="2">
        <v>70</v>
      </c>
      <c r="E250" s="2">
        <v>75</v>
      </c>
      <c r="F250" s="2">
        <v>25</v>
      </c>
      <c r="G250" s="3">
        <v>105</v>
      </c>
      <c r="H250" s="4">
        <v>75</v>
      </c>
      <c r="I250" s="5">
        <v>60</v>
      </c>
      <c r="J250" s="2">
        <f t="shared" si="5"/>
        <v>240</v>
      </c>
      <c r="K250" s="12"/>
      <c r="P250" s="6" t="s">
        <v>1640</v>
      </c>
    </row>
    <row r="251" ht="202" spans="1:16">
      <c r="A251" s="1" t="s">
        <v>1641</v>
      </c>
      <c r="B251" s="263"/>
      <c r="C251" s="2">
        <v>0</v>
      </c>
      <c r="D251" s="2">
        <v>65</v>
      </c>
      <c r="E251" s="2">
        <v>50</v>
      </c>
      <c r="F251" s="2">
        <v>60</v>
      </c>
      <c r="G251" s="3">
        <v>129</v>
      </c>
      <c r="H251" s="4">
        <v>60</v>
      </c>
      <c r="I251" s="5">
        <v>51</v>
      </c>
      <c r="J251" s="2">
        <f t="shared" si="5"/>
        <v>240</v>
      </c>
      <c r="M251" s="2"/>
      <c r="O251" s="9"/>
      <c r="P251" s="10" t="s">
        <v>1642</v>
      </c>
    </row>
    <row r="252" ht="17" spans="1:16">
      <c r="A252" s="1" t="s">
        <v>1643</v>
      </c>
      <c r="B252" s="264"/>
      <c r="C252" s="2">
        <v>25</v>
      </c>
      <c r="D252" s="2">
        <v>80</v>
      </c>
      <c r="E252" s="2">
        <v>100</v>
      </c>
      <c r="F252" s="2">
        <v>20</v>
      </c>
      <c r="G252" s="3">
        <v>149</v>
      </c>
      <c r="H252" s="4">
        <v>68</v>
      </c>
      <c r="I252" s="5">
        <v>22</v>
      </c>
      <c r="J252" s="2">
        <f t="shared" si="5"/>
        <v>239</v>
      </c>
      <c r="L252" s="17"/>
    </row>
    <row r="253" ht="17" spans="1:16">
      <c r="A253" s="1" t="s">
        <v>1644</v>
      </c>
      <c r="B253" s="265"/>
      <c r="C253" s="2">
        <v>39</v>
      </c>
      <c r="D253" s="2">
        <v>60</v>
      </c>
      <c r="E253" s="2">
        <v>58</v>
      </c>
      <c r="F253" s="2">
        <v>51</v>
      </c>
      <c r="G253" s="3">
        <v>98</v>
      </c>
      <c r="H253" s="4">
        <v>73</v>
      </c>
      <c r="I253" s="5">
        <v>65</v>
      </c>
      <c r="J253" s="2">
        <f t="shared" si="5"/>
        <v>236</v>
      </c>
      <c r="L253" s="17"/>
    </row>
    <row r="254" ht="17" spans="1:16">
      <c r="A254" s="1" t="s">
        <v>1645</v>
      </c>
      <c r="B254" s="266"/>
      <c r="C254" s="2">
        <v>38</v>
      </c>
      <c r="D254" s="2">
        <v>63</v>
      </c>
      <c r="E254" s="2">
        <v>63</v>
      </c>
      <c r="F254" s="2">
        <v>50</v>
      </c>
      <c r="G254" s="3">
        <v>100</v>
      </c>
      <c r="H254" s="4">
        <v>72</v>
      </c>
      <c r="I254" s="5">
        <v>61</v>
      </c>
      <c r="J254" s="2">
        <f t="shared" si="5"/>
        <v>233</v>
      </c>
      <c r="L254" s="17"/>
    </row>
    <row r="255" ht="17" spans="1:16">
      <c r="A255" s="1" t="s">
        <v>1646</v>
      </c>
      <c r="B255" s="267"/>
      <c r="C255" s="2">
        <v>28</v>
      </c>
      <c r="D255" s="2">
        <v>83</v>
      </c>
      <c r="E255" s="2">
        <v>92</v>
      </c>
      <c r="F255" s="2">
        <v>28</v>
      </c>
      <c r="G255" s="3">
        <v>135</v>
      </c>
      <c r="H255" s="4">
        <v>61</v>
      </c>
      <c r="I255" s="5">
        <v>36</v>
      </c>
      <c r="J255" s="2">
        <f t="shared" si="5"/>
        <v>232</v>
      </c>
      <c r="L255" s="17"/>
    </row>
    <row r="256" ht="17" spans="1:16">
      <c r="A256" s="1" t="s">
        <v>1647</v>
      </c>
      <c r="B256" s="268"/>
      <c r="C256" s="2">
        <v>31</v>
      </c>
      <c r="D256" s="2">
        <v>79</v>
      </c>
      <c r="E256" s="2">
        <v>77</v>
      </c>
      <c r="F256" s="2">
        <v>37</v>
      </c>
      <c r="G256" s="3">
        <v>119</v>
      </c>
      <c r="H256" s="4">
        <v>61</v>
      </c>
      <c r="I256" s="5">
        <v>49</v>
      </c>
      <c r="J256" s="2">
        <f t="shared" si="5"/>
        <v>229</v>
      </c>
      <c r="L256" s="17"/>
    </row>
    <row r="257" ht="34" spans="1:16">
      <c r="A257" s="1" t="s">
        <v>1648</v>
      </c>
      <c r="B257" s="269"/>
      <c r="C257" s="2">
        <v>65</v>
      </c>
      <c r="D257" s="2">
        <v>70</v>
      </c>
      <c r="E257" s="2">
        <v>90</v>
      </c>
      <c r="F257" s="2">
        <v>20</v>
      </c>
      <c r="G257" s="3">
        <v>100</v>
      </c>
      <c r="H257" s="4">
        <v>77</v>
      </c>
      <c r="I257" s="5">
        <v>49</v>
      </c>
      <c r="J257" s="2">
        <f t="shared" si="5"/>
        <v>226</v>
      </c>
      <c r="K257" s="12"/>
      <c r="P257" s="6" t="s">
        <v>1649</v>
      </c>
    </row>
    <row r="258" ht="34" spans="1:16">
      <c r="A258" s="1" t="s">
        <v>1650</v>
      </c>
      <c r="B258" s="270"/>
      <c r="C258" s="2">
        <v>65</v>
      </c>
      <c r="D258" s="2">
        <v>65</v>
      </c>
      <c r="E258" s="2">
        <v>75</v>
      </c>
      <c r="F258" s="2">
        <v>30</v>
      </c>
      <c r="G258" s="3">
        <v>90</v>
      </c>
      <c r="H258" s="4">
        <v>76</v>
      </c>
      <c r="I258" s="5">
        <v>59</v>
      </c>
      <c r="J258" s="2">
        <f t="shared" si="5"/>
        <v>225</v>
      </c>
      <c r="K258" s="12"/>
      <c r="P258" s="6" t="s">
        <v>1651</v>
      </c>
    </row>
    <row r="259" ht="17" spans="1:16">
      <c r="A259" s="1" t="s">
        <v>1652</v>
      </c>
      <c r="B259" s="271"/>
      <c r="C259" s="2">
        <v>27</v>
      </c>
      <c r="D259" s="2">
        <v>85</v>
      </c>
      <c r="E259" s="2">
        <v>98</v>
      </c>
      <c r="F259" s="2">
        <v>27</v>
      </c>
      <c r="G259" s="3">
        <v>136</v>
      </c>
      <c r="H259" s="4">
        <v>58</v>
      </c>
      <c r="I259" s="5">
        <v>30</v>
      </c>
      <c r="J259" s="2">
        <f t="shared" si="5"/>
        <v>224</v>
      </c>
      <c r="L259" s="17"/>
    </row>
    <row r="260" ht="17" spans="1:16">
      <c r="A260" s="1" t="s">
        <v>1653</v>
      </c>
      <c r="B260" s="272"/>
      <c r="C260" s="2">
        <v>27</v>
      </c>
      <c r="D260" s="2">
        <v>79</v>
      </c>
      <c r="E260" s="2">
        <v>100</v>
      </c>
      <c r="F260" s="2">
        <v>23</v>
      </c>
      <c r="G260" s="3">
        <v>155</v>
      </c>
      <c r="H260" s="4">
        <v>68</v>
      </c>
      <c r="I260" s="5">
        <v>0</v>
      </c>
      <c r="J260" s="2">
        <f t="shared" si="5"/>
        <v>223</v>
      </c>
      <c r="M260" s="12"/>
      <c r="P260" s="6" t="s">
        <v>1654</v>
      </c>
    </row>
    <row r="261" ht="17" spans="1:16">
      <c r="A261" s="1" t="s">
        <v>1655</v>
      </c>
      <c r="B261" s="273"/>
      <c r="C261" s="2">
        <v>70</v>
      </c>
      <c r="D261" s="2">
        <v>65</v>
      </c>
      <c r="E261" s="2">
        <v>90</v>
      </c>
      <c r="F261" s="2">
        <v>20</v>
      </c>
      <c r="G261" s="3">
        <v>89</v>
      </c>
      <c r="H261" s="4">
        <v>83</v>
      </c>
      <c r="I261" s="5">
        <v>51</v>
      </c>
      <c r="J261" s="2">
        <f t="shared" si="5"/>
        <v>223</v>
      </c>
      <c r="K261" s="12"/>
      <c r="P261" s="6" t="s">
        <v>1656</v>
      </c>
    </row>
    <row r="262" ht="17" spans="1:16">
      <c r="A262" s="1" t="s">
        <v>1657</v>
      </c>
      <c r="B262" s="274"/>
      <c r="C262" s="2">
        <v>67</v>
      </c>
      <c r="D262" s="2">
        <v>53</v>
      </c>
      <c r="E262" s="2">
        <v>51</v>
      </c>
      <c r="F262" s="2">
        <v>50</v>
      </c>
      <c r="G262" s="3">
        <v>71</v>
      </c>
      <c r="H262" s="4">
        <v>75</v>
      </c>
      <c r="I262" s="5">
        <v>76</v>
      </c>
      <c r="J262" s="2">
        <f t="shared" si="5"/>
        <v>222</v>
      </c>
      <c r="L262" s="17"/>
      <c r="M262" s="2"/>
    </row>
    <row r="263" ht="17" spans="1:16">
      <c r="A263" s="1" t="s">
        <v>1658</v>
      </c>
      <c r="B263" s="275"/>
      <c r="C263" s="2">
        <v>48</v>
      </c>
      <c r="D263" s="2">
        <v>48</v>
      </c>
      <c r="E263" s="2">
        <v>100</v>
      </c>
      <c r="F263" s="2">
        <v>45</v>
      </c>
      <c r="G263" s="3">
        <v>100</v>
      </c>
      <c r="H263" s="4">
        <v>88</v>
      </c>
      <c r="I263" s="5">
        <v>34</v>
      </c>
      <c r="J263" s="2">
        <f t="shared" si="5"/>
        <v>222</v>
      </c>
      <c r="L263" s="17"/>
    </row>
    <row r="264" ht="17" spans="1:16">
      <c r="A264" s="1" t="s">
        <v>1659</v>
      </c>
      <c r="B264" s="276"/>
      <c r="C264" s="2">
        <v>67</v>
      </c>
      <c r="D264" s="2">
        <v>57</v>
      </c>
      <c r="E264" s="2">
        <v>49</v>
      </c>
      <c r="F264" s="2">
        <v>49</v>
      </c>
      <c r="G264" s="3">
        <v>71</v>
      </c>
      <c r="H264" s="4">
        <v>72</v>
      </c>
      <c r="I264" s="5">
        <v>76</v>
      </c>
      <c r="J264" s="2">
        <f t="shared" si="5"/>
        <v>219</v>
      </c>
      <c r="L264" s="17"/>
      <c r="M264" s="2"/>
    </row>
    <row r="265" ht="17" spans="1:16">
      <c r="A265" s="1" t="s">
        <v>1660</v>
      </c>
      <c r="B265" s="277"/>
      <c r="C265" s="2">
        <v>40</v>
      </c>
      <c r="D265" s="2">
        <v>64</v>
      </c>
      <c r="E265" s="2">
        <v>61</v>
      </c>
      <c r="F265" s="2">
        <v>56</v>
      </c>
      <c r="G265" s="3">
        <v>91</v>
      </c>
      <c r="H265" s="4">
        <v>66</v>
      </c>
      <c r="I265" s="5">
        <v>58</v>
      </c>
      <c r="J265" s="2">
        <f t="shared" ref="J265:J337" si="6">G265+H265+I265</f>
        <v>215</v>
      </c>
      <c r="L265" s="17"/>
    </row>
    <row r="266" ht="17" spans="1:16">
      <c r="A266" s="1" t="s">
        <v>1661</v>
      </c>
      <c r="B266" s="278"/>
      <c r="C266" s="2">
        <v>27</v>
      </c>
      <c r="D266" s="2">
        <v>91</v>
      </c>
      <c r="E266" s="2">
        <v>95</v>
      </c>
      <c r="F266" s="2">
        <v>28</v>
      </c>
      <c r="G266" s="3">
        <v>134</v>
      </c>
      <c r="H266" s="4">
        <v>48</v>
      </c>
      <c r="I266" s="5">
        <v>32</v>
      </c>
      <c r="J266" s="2">
        <f t="shared" si="6"/>
        <v>214</v>
      </c>
      <c r="L266" s="17"/>
    </row>
    <row r="267" ht="34" spans="1:16">
      <c r="A267" s="1" t="s">
        <v>1662</v>
      </c>
      <c r="B267" s="279"/>
      <c r="C267" s="2">
        <v>37</v>
      </c>
      <c r="D267" s="2">
        <v>65</v>
      </c>
      <c r="E267" s="2">
        <v>84</v>
      </c>
      <c r="F267" s="2">
        <v>49</v>
      </c>
      <c r="G267" s="3">
        <v>102</v>
      </c>
      <c r="H267" s="4">
        <v>70</v>
      </c>
      <c r="I267" s="5">
        <v>42</v>
      </c>
      <c r="J267" s="2">
        <f t="shared" si="6"/>
        <v>214</v>
      </c>
      <c r="L267" s="17"/>
      <c r="M267" s="12" t="s">
        <v>1663</v>
      </c>
      <c r="P267" s="6" t="s">
        <v>1664</v>
      </c>
    </row>
    <row r="268" ht="51" spans="1:16">
      <c r="A268" s="1" t="s">
        <v>1665</v>
      </c>
      <c r="B268" s="280"/>
      <c r="C268" s="2">
        <v>80</v>
      </c>
      <c r="D268" s="2">
        <v>70</v>
      </c>
      <c r="E268" s="2">
        <v>55</v>
      </c>
      <c r="F268" s="2">
        <v>25</v>
      </c>
      <c r="G268" s="3">
        <v>60</v>
      </c>
      <c r="H268" s="4">
        <v>70</v>
      </c>
      <c r="I268" s="5">
        <v>84</v>
      </c>
      <c r="J268" s="2">
        <f t="shared" si="6"/>
        <v>214</v>
      </c>
      <c r="K268" s="12"/>
      <c r="P268" s="6" t="s">
        <v>1666</v>
      </c>
    </row>
    <row r="269" ht="17" spans="1:16">
      <c r="A269" s="1" t="s">
        <v>1667</v>
      </c>
      <c r="B269" s="281"/>
      <c r="C269" s="2">
        <v>55</v>
      </c>
      <c r="D269" s="2">
        <v>80</v>
      </c>
      <c r="E269" s="2">
        <v>75</v>
      </c>
      <c r="F269" s="2">
        <v>35</v>
      </c>
      <c r="G269" s="3">
        <v>104</v>
      </c>
      <c r="H269" s="4">
        <v>54</v>
      </c>
      <c r="I269" s="5">
        <v>50</v>
      </c>
      <c r="J269" s="2">
        <f t="shared" si="6"/>
        <v>208</v>
      </c>
      <c r="K269" s="12"/>
      <c r="P269" s="6" t="s">
        <v>1668</v>
      </c>
    </row>
    <row r="270" ht="252" spans="1:16">
      <c r="A270" s="1" t="s">
        <v>1669</v>
      </c>
      <c r="B270" s="282"/>
      <c r="C270" s="2">
        <v>0</v>
      </c>
      <c r="D270" s="2">
        <v>68</v>
      </c>
      <c r="E270" s="2">
        <v>100</v>
      </c>
      <c r="F270" s="2">
        <v>53</v>
      </c>
      <c r="G270" s="3">
        <v>143</v>
      </c>
      <c r="H270" s="4">
        <v>63</v>
      </c>
      <c r="I270" s="5">
        <v>0</v>
      </c>
      <c r="J270" s="2">
        <f t="shared" si="6"/>
        <v>206</v>
      </c>
      <c r="M270" s="12" t="s">
        <v>1670</v>
      </c>
      <c r="O270" s="9"/>
      <c r="P270" s="6" t="s">
        <v>1671</v>
      </c>
    </row>
    <row r="271" ht="17" spans="1:16">
      <c r="A271" s="1" t="s">
        <v>1672</v>
      </c>
      <c r="B271" s="283"/>
      <c r="C271" s="2">
        <v>37</v>
      </c>
      <c r="D271" s="2">
        <v>72</v>
      </c>
      <c r="E271" s="2">
        <v>72</v>
      </c>
      <c r="F271" s="2">
        <v>52</v>
      </c>
      <c r="G271" s="3">
        <v>96</v>
      </c>
      <c r="H271" s="4">
        <v>61</v>
      </c>
      <c r="I271" s="5">
        <v>48</v>
      </c>
      <c r="J271" s="2">
        <f t="shared" si="6"/>
        <v>205</v>
      </c>
      <c r="L271" s="17"/>
    </row>
    <row r="272" ht="17" spans="1:16">
      <c r="A272" s="1" t="s">
        <v>1673</v>
      </c>
      <c r="B272" s="284"/>
      <c r="C272" s="2">
        <v>75</v>
      </c>
      <c r="D272" s="2">
        <v>65</v>
      </c>
      <c r="E272" s="2">
        <v>75</v>
      </c>
      <c r="F272" s="2">
        <v>30</v>
      </c>
      <c r="G272" s="3">
        <v>69</v>
      </c>
      <c r="H272" s="4">
        <v>73</v>
      </c>
      <c r="I272" s="5">
        <v>61</v>
      </c>
      <c r="J272" s="2">
        <f t="shared" si="6"/>
        <v>203</v>
      </c>
      <c r="K272" s="12"/>
      <c r="P272" s="6" t="s">
        <v>1674</v>
      </c>
    </row>
    <row r="273" ht="17" spans="1:16">
      <c r="A273" s="1" t="s">
        <v>1675</v>
      </c>
      <c r="B273" s="285"/>
      <c r="M273" s="2"/>
      <c r="N273" s="14"/>
      <c r="P273" s="6" t="s">
        <v>1676</v>
      </c>
    </row>
    <row r="274" ht="17" spans="1:16">
      <c r="A274" s="1" t="s">
        <v>1677</v>
      </c>
      <c r="B274" s="286"/>
      <c r="C274" s="2">
        <v>76</v>
      </c>
      <c r="D274" s="2">
        <v>73</v>
      </c>
      <c r="E274" s="2">
        <v>46</v>
      </c>
      <c r="F274" s="2">
        <v>39</v>
      </c>
      <c r="G274" s="3">
        <v>61</v>
      </c>
      <c r="H274" s="4">
        <v>59</v>
      </c>
      <c r="I274" s="5">
        <v>79</v>
      </c>
      <c r="J274" s="2">
        <f t="shared" si="6"/>
        <v>199</v>
      </c>
      <c r="M274" s="12"/>
      <c r="P274" s="6" t="s">
        <v>1678</v>
      </c>
    </row>
    <row r="275" ht="17" spans="1:16">
      <c r="A275" s="1" t="s">
        <v>1679</v>
      </c>
      <c r="B275" s="287"/>
      <c r="C275" s="2">
        <v>37</v>
      </c>
      <c r="D275" s="2">
        <v>66</v>
      </c>
      <c r="E275" s="2">
        <v>100</v>
      </c>
      <c r="F275" s="2">
        <v>34</v>
      </c>
      <c r="G275" s="3">
        <v>124</v>
      </c>
      <c r="H275" s="4">
        <v>75</v>
      </c>
      <c r="I275" s="5">
        <v>0</v>
      </c>
      <c r="J275" s="2">
        <f t="shared" si="6"/>
        <v>199</v>
      </c>
      <c r="M275" s="12"/>
      <c r="P275" s="6" t="s">
        <v>1680</v>
      </c>
    </row>
    <row r="276" ht="17" spans="1:16">
      <c r="A276" s="1" t="s">
        <v>1681</v>
      </c>
      <c r="B276" s="288"/>
      <c r="C276" s="2">
        <v>50</v>
      </c>
      <c r="D276" s="2">
        <v>50</v>
      </c>
      <c r="E276" s="2">
        <v>10</v>
      </c>
      <c r="F276" s="2">
        <v>48</v>
      </c>
      <c r="G276" s="3">
        <v>94</v>
      </c>
      <c r="H276" s="4">
        <v>83</v>
      </c>
      <c r="I276" s="5">
        <v>20</v>
      </c>
      <c r="J276" s="2">
        <f t="shared" si="6"/>
        <v>197</v>
      </c>
      <c r="L276" s="17"/>
    </row>
    <row r="277" ht="17" spans="1:16">
      <c r="A277" s="1" t="s">
        <v>1682</v>
      </c>
      <c r="B277" s="289"/>
      <c r="C277" s="2">
        <v>49</v>
      </c>
      <c r="D277" s="2">
        <v>71</v>
      </c>
      <c r="E277" s="2">
        <v>49</v>
      </c>
      <c r="F277" s="2">
        <v>58</v>
      </c>
      <c r="G277" s="3">
        <v>79</v>
      </c>
      <c r="H277" s="4">
        <v>56</v>
      </c>
      <c r="I277" s="5">
        <v>62</v>
      </c>
      <c r="J277" s="2">
        <f t="shared" si="6"/>
        <v>197</v>
      </c>
      <c r="L277" s="17"/>
    </row>
    <row r="278" ht="17" spans="1:16">
      <c r="A278" s="1" t="s">
        <v>1683</v>
      </c>
      <c r="B278" s="290"/>
      <c r="C278" s="2">
        <v>32</v>
      </c>
      <c r="D278" s="2">
        <v>83</v>
      </c>
      <c r="E278" s="2">
        <v>96</v>
      </c>
      <c r="F278" s="2">
        <v>41</v>
      </c>
      <c r="G278" s="3">
        <v>113</v>
      </c>
      <c r="H278" s="4">
        <v>54</v>
      </c>
      <c r="I278" s="5">
        <v>29</v>
      </c>
      <c r="J278" s="2">
        <f t="shared" si="6"/>
        <v>196</v>
      </c>
      <c r="L278" s="17"/>
    </row>
    <row r="279" ht="17" spans="1:16">
      <c r="A279" s="1" t="s">
        <v>1684</v>
      </c>
      <c r="B279" s="291"/>
      <c r="C279" s="2">
        <v>75</v>
      </c>
      <c r="D279" s="2">
        <v>70</v>
      </c>
      <c r="E279" s="2">
        <v>75</v>
      </c>
      <c r="F279" s="2">
        <v>30</v>
      </c>
      <c r="G279" s="3">
        <v>70</v>
      </c>
      <c r="H279" s="4">
        <v>67</v>
      </c>
      <c r="I279" s="5">
        <v>59</v>
      </c>
      <c r="J279" s="2">
        <f t="shared" si="6"/>
        <v>196</v>
      </c>
      <c r="K279" s="12"/>
      <c r="P279" s="6" t="s">
        <v>1685</v>
      </c>
    </row>
    <row r="280" ht="17" spans="1:16">
      <c r="A280" s="1" t="s">
        <v>1686</v>
      </c>
      <c r="B280" s="292"/>
      <c r="C280" s="2">
        <v>27</v>
      </c>
      <c r="D280" s="2">
        <v>96</v>
      </c>
      <c r="E280" s="2">
        <v>100</v>
      </c>
      <c r="F280" s="2">
        <v>27</v>
      </c>
      <c r="G280" s="3">
        <v>134</v>
      </c>
      <c r="H280" s="4">
        <v>38</v>
      </c>
      <c r="I280" s="5">
        <v>23</v>
      </c>
      <c r="J280" s="2">
        <f t="shared" si="6"/>
        <v>195</v>
      </c>
      <c r="L280" s="17"/>
    </row>
    <row r="281" ht="17" spans="1:16">
      <c r="A281" s="1" t="s">
        <v>1687</v>
      </c>
      <c r="B281" s="293"/>
      <c r="C281" s="2">
        <v>46</v>
      </c>
      <c r="D281" s="2">
        <v>59</v>
      </c>
      <c r="E281" s="2">
        <v>68</v>
      </c>
      <c r="F281" s="2">
        <v>61</v>
      </c>
      <c r="G281" s="3">
        <v>79</v>
      </c>
      <c r="H281" s="4">
        <v>64</v>
      </c>
      <c r="I281" s="5">
        <v>50</v>
      </c>
      <c r="J281" s="2">
        <f t="shared" si="6"/>
        <v>193</v>
      </c>
      <c r="L281" s="17"/>
    </row>
    <row r="282" ht="17" spans="1:16">
      <c r="A282" s="1" t="s">
        <v>1688</v>
      </c>
      <c r="B282" s="294"/>
      <c r="C282" s="2">
        <v>52</v>
      </c>
      <c r="D282" s="2">
        <v>56</v>
      </c>
      <c r="E282" s="2">
        <v>64</v>
      </c>
      <c r="F282" s="2">
        <v>62</v>
      </c>
      <c r="G282" s="3">
        <v>74</v>
      </c>
      <c r="H282" s="4">
        <v>64</v>
      </c>
      <c r="I282" s="5">
        <v>53</v>
      </c>
      <c r="J282" s="2">
        <f t="shared" si="6"/>
        <v>191</v>
      </c>
      <c r="L282" s="17"/>
    </row>
    <row r="283" ht="17" spans="1:16">
      <c r="A283" s="1" t="s">
        <v>1689</v>
      </c>
      <c r="B283" s="295"/>
      <c r="C283" s="2">
        <v>34</v>
      </c>
      <c r="D283" s="2">
        <v>82</v>
      </c>
      <c r="E283" s="2">
        <v>85</v>
      </c>
      <c r="F283" s="2">
        <v>47</v>
      </c>
      <c r="G283" s="3">
        <v>103</v>
      </c>
      <c r="H283" s="4">
        <v>52</v>
      </c>
      <c r="I283" s="5">
        <v>36</v>
      </c>
      <c r="J283" s="2">
        <f t="shared" si="6"/>
        <v>191</v>
      </c>
      <c r="L283" s="17"/>
    </row>
    <row r="284" ht="17" spans="1:16">
      <c r="A284" s="1" t="s">
        <v>1690</v>
      </c>
      <c r="B284" s="296"/>
      <c r="C284" s="2">
        <v>48</v>
      </c>
      <c r="D284" s="2">
        <v>58</v>
      </c>
      <c r="E284" s="2">
        <v>70</v>
      </c>
      <c r="F284" s="2">
        <v>62</v>
      </c>
      <c r="G284" s="3">
        <v>77</v>
      </c>
      <c r="H284" s="4">
        <v>64</v>
      </c>
      <c r="I284" s="5">
        <v>48</v>
      </c>
      <c r="J284" s="2">
        <f t="shared" si="6"/>
        <v>189</v>
      </c>
      <c r="L284" s="17"/>
    </row>
    <row r="285" ht="17" spans="1:16">
      <c r="A285" s="1" t="s">
        <v>1691</v>
      </c>
      <c r="B285" s="297"/>
      <c r="C285" s="2">
        <v>30</v>
      </c>
      <c r="D285" s="2">
        <v>87</v>
      </c>
      <c r="E285" s="2">
        <v>100</v>
      </c>
      <c r="F285" s="2">
        <v>38</v>
      </c>
      <c r="G285" s="3">
        <v>117</v>
      </c>
      <c r="H285" s="4">
        <v>49</v>
      </c>
      <c r="I285" s="5">
        <v>23</v>
      </c>
      <c r="J285" s="2">
        <f t="shared" si="6"/>
        <v>189</v>
      </c>
      <c r="L285" s="17"/>
    </row>
    <row r="286" ht="17" spans="1:16">
      <c r="A286" s="1" t="s">
        <v>1692</v>
      </c>
      <c r="B286" s="298"/>
      <c r="C286" s="2">
        <v>38</v>
      </c>
      <c r="D286" s="2">
        <v>69</v>
      </c>
      <c r="E286" s="2">
        <v>90</v>
      </c>
      <c r="F286" s="2">
        <v>54</v>
      </c>
      <c r="G286" s="3">
        <v>93</v>
      </c>
      <c r="H286" s="4">
        <v>61</v>
      </c>
      <c r="I286" s="5">
        <v>33</v>
      </c>
      <c r="J286" s="2">
        <f t="shared" si="6"/>
        <v>187</v>
      </c>
      <c r="L286" s="17"/>
    </row>
    <row r="287" ht="17" spans="1:16">
      <c r="A287" s="1" t="s">
        <v>1693</v>
      </c>
      <c r="B287" s="299"/>
      <c r="C287" s="2">
        <v>44</v>
      </c>
      <c r="D287" s="2">
        <v>61</v>
      </c>
      <c r="E287" s="2">
        <v>76</v>
      </c>
      <c r="F287" s="2">
        <v>62</v>
      </c>
      <c r="G287" s="3">
        <v>80</v>
      </c>
      <c r="H287" s="4">
        <v>62</v>
      </c>
      <c r="I287" s="5">
        <v>42</v>
      </c>
      <c r="J287" s="2">
        <f t="shared" si="6"/>
        <v>184</v>
      </c>
      <c r="L287" s="17"/>
    </row>
    <row r="288" ht="51" spans="1:16">
      <c r="A288" s="1" t="s">
        <v>1694</v>
      </c>
      <c r="B288" s="300"/>
      <c r="C288" s="2">
        <v>55</v>
      </c>
      <c r="D288" s="2">
        <v>80</v>
      </c>
      <c r="E288" s="2">
        <v>100</v>
      </c>
      <c r="F288" s="2">
        <v>35</v>
      </c>
      <c r="G288" s="3">
        <v>104</v>
      </c>
      <c r="H288" s="4">
        <v>54</v>
      </c>
      <c r="I288" s="5">
        <v>26</v>
      </c>
      <c r="J288" s="2">
        <f t="shared" si="6"/>
        <v>184</v>
      </c>
      <c r="K288" s="12"/>
      <c r="P288" s="6" t="s">
        <v>1695</v>
      </c>
    </row>
    <row r="289" ht="17" spans="1:16">
      <c r="A289" s="1" t="s">
        <v>1696</v>
      </c>
      <c r="B289" s="301"/>
      <c r="C289" s="2">
        <v>45</v>
      </c>
      <c r="D289" s="2">
        <v>55</v>
      </c>
      <c r="E289" s="2">
        <v>100</v>
      </c>
      <c r="F289" s="2">
        <v>54</v>
      </c>
      <c r="G289" s="3">
        <v>91</v>
      </c>
      <c r="H289" s="4">
        <v>73</v>
      </c>
      <c r="I289" s="5">
        <v>19</v>
      </c>
      <c r="J289" s="2">
        <f t="shared" si="6"/>
        <v>183</v>
      </c>
      <c r="L289" s="17"/>
    </row>
    <row r="290" ht="17" spans="1:16">
      <c r="A290" s="1" t="s">
        <v>1697</v>
      </c>
      <c r="B290" s="302"/>
      <c r="C290" s="2">
        <v>45</v>
      </c>
      <c r="D290" s="2">
        <v>56</v>
      </c>
      <c r="E290" s="2">
        <v>100</v>
      </c>
      <c r="F290" s="2">
        <v>56</v>
      </c>
      <c r="G290" s="3">
        <v>88</v>
      </c>
      <c r="H290" s="4">
        <v>71</v>
      </c>
      <c r="I290" s="5">
        <v>23</v>
      </c>
      <c r="J290" s="2">
        <f t="shared" si="6"/>
        <v>182</v>
      </c>
      <c r="L290" s="17"/>
    </row>
    <row r="291" ht="17" spans="1:16">
      <c r="A291" s="1" t="s">
        <v>1698</v>
      </c>
      <c r="B291" s="303"/>
      <c r="C291" s="2">
        <v>30</v>
      </c>
      <c r="D291" s="2">
        <v>89</v>
      </c>
      <c r="E291" s="2">
        <v>100</v>
      </c>
      <c r="F291" s="2">
        <v>39</v>
      </c>
      <c r="G291" s="3">
        <v>115</v>
      </c>
      <c r="H291" s="4">
        <v>46</v>
      </c>
      <c r="I291" s="5">
        <v>18</v>
      </c>
      <c r="J291" s="2">
        <f t="shared" si="6"/>
        <v>179</v>
      </c>
      <c r="L291" s="17"/>
    </row>
    <row r="292" ht="135" spans="1:16">
      <c r="A292" s="1" t="s">
        <v>1699</v>
      </c>
      <c r="B292" s="304"/>
      <c r="C292" s="2">
        <v>42</v>
      </c>
      <c r="D292" s="2">
        <v>78</v>
      </c>
      <c r="E292" s="2">
        <v>82</v>
      </c>
      <c r="F292" s="2">
        <v>50</v>
      </c>
      <c r="G292" s="3">
        <v>103</v>
      </c>
      <c r="H292" s="4">
        <v>46</v>
      </c>
      <c r="I292" s="5">
        <v>29</v>
      </c>
      <c r="J292" s="2">
        <f t="shared" si="6"/>
        <v>178</v>
      </c>
      <c r="M292" s="2"/>
      <c r="O292" s="9"/>
      <c r="P292" s="10" t="s">
        <v>1700</v>
      </c>
    </row>
    <row r="293" ht="185" spans="1:16">
      <c r="A293" s="1" t="s">
        <v>1701</v>
      </c>
      <c r="B293" s="305"/>
      <c r="C293" s="2">
        <v>0</v>
      </c>
      <c r="D293" s="2">
        <v>30</v>
      </c>
      <c r="E293" s="2">
        <v>60</v>
      </c>
      <c r="F293" s="2">
        <v>80</v>
      </c>
      <c r="G293" s="3">
        <v>88</v>
      </c>
      <c r="H293" s="4">
        <v>64</v>
      </c>
      <c r="I293" s="5">
        <v>25</v>
      </c>
      <c r="J293" s="2">
        <f t="shared" si="6"/>
        <v>177</v>
      </c>
      <c r="M293" s="2"/>
      <c r="N293" s="14"/>
      <c r="O293" s="9"/>
      <c r="P293" s="6" t="s">
        <v>1702</v>
      </c>
    </row>
    <row r="294" ht="17" spans="1:16">
      <c r="A294" s="1" t="s">
        <v>1703</v>
      </c>
      <c r="B294" s="306"/>
      <c r="C294" s="2">
        <v>60</v>
      </c>
      <c r="D294" s="2">
        <v>80</v>
      </c>
      <c r="E294" s="2">
        <v>90</v>
      </c>
      <c r="F294" s="2">
        <v>40</v>
      </c>
      <c r="G294" s="3">
        <v>91</v>
      </c>
      <c r="H294" s="4">
        <v>50</v>
      </c>
      <c r="I294" s="5">
        <v>34</v>
      </c>
      <c r="J294" s="2">
        <f t="shared" si="6"/>
        <v>175</v>
      </c>
      <c r="K294" s="12"/>
      <c r="P294" s="6" t="s">
        <v>1704</v>
      </c>
    </row>
    <row r="295" ht="17" spans="1:16">
      <c r="A295" s="1" t="s">
        <v>1705</v>
      </c>
      <c r="B295" s="307"/>
      <c r="C295" s="2">
        <v>32</v>
      </c>
      <c r="D295" s="2">
        <v>90</v>
      </c>
      <c r="E295" s="2">
        <v>95</v>
      </c>
      <c r="F295" s="2">
        <v>45</v>
      </c>
      <c r="G295" s="3">
        <v>105</v>
      </c>
      <c r="H295" s="4">
        <v>42</v>
      </c>
      <c r="I295" s="5">
        <v>27</v>
      </c>
      <c r="J295" s="2">
        <f t="shared" si="6"/>
        <v>174</v>
      </c>
      <c r="L295" s="17"/>
    </row>
    <row r="296" ht="17" spans="1:16">
      <c r="A296" s="1" t="s">
        <v>1706</v>
      </c>
      <c r="B296" s="308"/>
      <c r="C296" s="2">
        <v>45</v>
      </c>
      <c r="D296" s="2">
        <v>68</v>
      </c>
      <c r="E296" s="2">
        <v>57</v>
      </c>
      <c r="F296" s="2">
        <v>66</v>
      </c>
      <c r="G296" s="3">
        <v>72</v>
      </c>
      <c r="H296" s="4">
        <v>51</v>
      </c>
      <c r="I296" s="5">
        <v>50</v>
      </c>
      <c r="J296" s="2">
        <f t="shared" si="6"/>
        <v>173</v>
      </c>
      <c r="L296" s="17"/>
    </row>
    <row r="297" ht="17" spans="1:16">
      <c r="A297" s="1" t="s">
        <v>1707</v>
      </c>
      <c r="B297" s="309"/>
      <c r="C297" s="2">
        <v>43</v>
      </c>
      <c r="D297" s="2">
        <v>63</v>
      </c>
      <c r="E297" s="2">
        <v>88</v>
      </c>
      <c r="F297" s="2">
        <v>61</v>
      </c>
      <c r="G297" s="3">
        <v>81</v>
      </c>
      <c r="H297" s="4">
        <v>60</v>
      </c>
      <c r="I297" s="5">
        <v>32</v>
      </c>
      <c r="J297" s="2">
        <f t="shared" si="6"/>
        <v>173</v>
      </c>
      <c r="L297" s="17"/>
    </row>
    <row r="298" ht="17" spans="1:16">
      <c r="A298" s="1" t="s">
        <v>1708</v>
      </c>
      <c r="B298" s="310"/>
      <c r="C298" s="2">
        <v>37</v>
      </c>
      <c r="D298" s="2">
        <v>74</v>
      </c>
      <c r="E298" s="2">
        <v>96</v>
      </c>
      <c r="F298" s="2">
        <v>55</v>
      </c>
      <c r="G298" s="3">
        <v>92</v>
      </c>
      <c r="H298" s="4">
        <v>55</v>
      </c>
      <c r="I298" s="5">
        <v>25</v>
      </c>
      <c r="J298" s="2">
        <f t="shared" si="6"/>
        <v>172</v>
      </c>
      <c r="L298" s="17"/>
    </row>
    <row r="299" ht="17" spans="1:16">
      <c r="A299" s="1" t="s">
        <v>1709</v>
      </c>
      <c r="B299" s="311"/>
      <c r="C299" s="2">
        <v>33</v>
      </c>
      <c r="D299" s="2">
        <v>89</v>
      </c>
      <c r="E299" s="2">
        <v>92</v>
      </c>
      <c r="F299" s="2">
        <v>48</v>
      </c>
      <c r="G299" s="3">
        <v>101</v>
      </c>
      <c r="H299" s="4">
        <v>43</v>
      </c>
      <c r="I299" s="5">
        <v>28</v>
      </c>
      <c r="J299" s="2">
        <f t="shared" si="6"/>
        <v>172</v>
      </c>
      <c r="L299" s="17"/>
    </row>
    <row r="300" ht="17" spans="1:16">
      <c r="A300" s="1" t="s">
        <v>1710</v>
      </c>
      <c r="B300" s="312"/>
      <c r="C300" s="2">
        <v>54</v>
      </c>
      <c r="D300" s="2">
        <v>70</v>
      </c>
      <c r="E300" s="2">
        <v>63</v>
      </c>
      <c r="F300" s="2">
        <v>56</v>
      </c>
      <c r="G300" s="3">
        <v>73</v>
      </c>
      <c r="H300" s="4">
        <v>49</v>
      </c>
      <c r="I300" s="5">
        <v>49</v>
      </c>
      <c r="J300" s="2">
        <f t="shared" si="6"/>
        <v>171</v>
      </c>
      <c r="M300" s="12"/>
      <c r="N300" s="14"/>
      <c r="P300" s="6" t="s">
        <v>1711</v>
      </c>
    </row>
    <row r="301" ht="17" spans="1:16">
      <c r="A301" s="1" t="s">
        <v>1712</v>
      </c>
      <c r="B301" s="313"/>
      <c r="C301" s="2">
        <v>42</v>
      </c>
      <c r="D301" s="2">
        <v>64</v>
      </c>
      <c r="E301" s="2">
        <v>94</v>
      </c>
      <c r="F301" s="2">
        <v>60</v>
      </c>
      <c r="G301" s="3">
        <v>83</v>
      </c>
      <c r="H301" s="4">
        <v>60</v>
      </c>
      <c r="I301" s="5">
        <v>27</v>
      </c>
      <c r="J301" s="2">
        <f t="shared" si="6"/>
        <v>170</v>
      </c>
      <c r="L301" s="17"/>
    </row>
    <row r="302" ht="17" spans="1:16">
      <c r="A302" s="1" t="s">
        <v>1713</v>
      </c>
      <c r="B302" s="314"/>
      <c r="C302" s="2">
        <v>41</v>
      </c>
      <c r="D302" s="2">
        <v>66</v>
      </c>
      <c r="E302" s="2">
        <v>94</v>
      </c>
      <c r="F302" s="2">
        <v>60</v>
      </c>
      <c r="G302" s="3">
        <v>85</v>
      </c>
      <c r="H302" s="4">
        <v>59</v>
      </c>
      <c r="I302" s="5">
        <v>24</v>
      </c>
      <c r="J302" s="2">
        <f t="shared" si="6"/>
        <v>168</v>
      </c>
      <c r="L302" s="17"/>
    </row>
    <row r="303" ht="17" spans="1:16">
      <c r="A303" s="1" t="s">
        <v>1714</v>
      </c>
      <c r="B303" s="315"/>
      <c r="C303" s="2">
        <v>49</v>
      </c>
      <c r="D303" s="2">
        <v>82</v>
      </c>
      <c r="E303" s="2">
        <v>46</v>
      </c>
      <c r="F303" s="2">
        <v>63</v>
      </c>
      <c r="G303" s="3">
        <v>72</v>
      </c>
      <c r="H303" s="4">
        <v>41</v>
      </c>
      <c r="I303" s="5">
        <v>54</v>
      </c>
      <c r="J303" s="2">
        <f t="shared" si="6"/>
        <v>167</v>
      </c>
      <c r="L303" s="17"/>
    </row>
    <row r="304" ht="17" spans="1:16">
      <c r="A304" s="1" t="s">
        <v>1715</v>
      </c>
      <c r="B304" s="316"/>
      <c r="C304" s="2">
        <v>37</v>
      </c>
      <c r="D304" s="2">
        <v>82</v>
      </c>
      <c r="E304" s="2">
        <v>82</v>
      </c>
      <c r="F304" s="2">
        <v>52</v>
      </c>
      <c r="G304" s="3">
        <v>96</v>
      </c>
      <c r="H304" s="4">
        <v>40</v>
      </c>
      <c r="I304" s="5">
        <v>30</v>
      </c>
      <c r="J304" s="2">
        <f t="shared" si="6"/>
        <v>166</v>
      </c>
      <c r="M304" s="12"/>
      <c r="P304" s="6" t="s">
        <v>1716</v>
      </c>
    </row>
    <row r="305" ht="84" spans="1:16">
      <c r="A305" s="1" t="s">
        <v>1717</v>
      </c>
      <c r="B305" s="317"/>
      <c r="C305" s="2">
        <v>85</v>
      </c>
      <c r="D305" s="2">
        <v>85</v>
      </c>
      <c r="E305" s="2">
        <v>65</v>
      </c>
      <c r="F305" s="2">
        <v>30</v>
      </c>
      <c r="G305" s="3">
        <v>52</v>
      </c>
      <c r="H305" s="4">
        <v>48</v>
      </c>
      <c r="I305" s="5">
        <v>65</v>
      </c>
      <c r="J305" s="2">
        <f t="shared" si="6"/>
        <v>165</v>
      </c>
      <c r="K305" s="12"/>
      <c r="P305" s="6" t="s">
        <v>1718</v>
      </c>
    </row>
    <row r="306" ht="17" spans="1:16">
      <c r="A306" s="1" t="s">
        <v>1719</v>
      </c>
      <c r="B306" s="318"/>
      <c r="C306" s="2">
        <v>76</v>
      </c>
      <c r="D306" s="2">
        <v>70</v>
      </c>
      <c r="E306" s="2">
        <v>51</v>
      </c>
      <c r="F306" s="2">
        <v>60</v>
      </c>
      <c r="G306" s="3">
        <v>53</v>
      </c>
      <c r="H306" s="4">
        <v>51</v>
      </c>
      <c r="I306" s="5">
        <v>60</v>
      </c>
      <c r="J306" s="2">
        <f t="shared" si="6"/>
        <v>164</v>
      </c>
      <c r="L306" s="17"/>
    </row>
    <row r="307" ht="17" spans="1:16">
      <c r="A307" s="1" t="s">
        <v>1720</v>
      </c>
      <c r="B307" s="319"/>
      <c r="C307" s="2">
        <v>68</v>
      </c>
      <c r="D307" s="2">
        <v>56</v>
      </c>
      <c r="E307" s="2">
        <v>60</v>
      </c>
      <c r="F307" s="2">
        <v>66</v>
      </c>
      <c r="G307" s="3">
        <v>55</v>
      </c>
      <c r="H307" s="4">
        <v>56</v>
      </c>
      <c r="I307" s="5">
        <v>52</v>
      </c>
      <c r="J307" s="2">
        <f t="shared" si="6"/>
        <v>163</v>
      </c>
      <c r="L307" s="17"/>
    </row>
    <row r="308" ht="17" spans="1:16">
      <c r="A308" s="1" t="s">
        <v>1721</v>
      </c>
      <c r="B308" s="320"/>
      <c r="C308" s="2">
        <v>64</v>
      </c>
      <c r="D308" s="2">
        <v>57</v>
      </c>
      <c r="E308" s="2">
        <v>60</v>
      </c>
      <c r="F308" s="2">
        <v>67</v>
      </c>
      <c r="G308" s="3">
        <v>57</v>
      </c>
      <c r="H308" s="4">
        <v>55</v>
      </c>
      <c r="I308" s="5">
        <v>51</v>
      </c>
      <c r="J308" s="2">
        <f t="shared" si="6"/>
        <v>163</v>
      </c>
      <c r="L308" s="17"/>
    </row>
    <row r="309" ht="17" spans="1:16">
      <c r="A309" s="1" t="s">
        <v>1722</v>
      </c>
      <c r="B309" s="321"/>
      <c r="C309" s="2">
        <v>36</v>
      </c>
      <c r="D309" s="2">
        <v>90</v>
      </c>
      <c r="E309" s="2">
        <v>82</v>
      </c>
      <c r="F309" s="2">
        <v>56</v>
      </c>
      <c r="G309" s="3">
        <v>89</v>
      </c>
      <c r="H309" s="4">
        <v>38</v>
      </c>
      <c r="I309" s="5">
        <v>32</v>
      </c>
      <c r="J309" s="2">
        <f t="shared" si="6"/>
        <v>159</v>
      </c>
      <c r="L309" s="17"/>
    </row>
    <row r="310" ht="17" spans="1:16">
      <c r="A310" s="1" t="s">
        <v>1723</v>
      </c>
      <c r="B310" s="322"/>
      <c r="C310" s="2">
        <v>67</v>
      </c>
      <c r="D310" s="2">
        <v>60</v>
      </c>
      <c r="E310" s="2">
        <v>57</v>
      </c>
      <c r="F310" s="2">
        <v>68</v>
      </c>
      <c r="G310" s="3">
        <v>54</v>
      </c>
      <c r="H310" s="4">
        <v>52</v>
      </c>
      <c r="I310" s="5">
        <v>51</v>
      </c>
      <c r="J310" s="2">
        <f t="shared" si="6"/>
        <v>157</v>
      </c>
      <c r="L310" s="17"/>
    </row>
    <row r="311" ht="202" spans="1:16">
      <c r="A311" s="1" t="s">
        <v>1724</v>
      </c>
      <c r="B311" s="323"/>
      <c r="C311" s="2">
        <v>87</v>
      </c>
      <c r="D311" s="2">
        <v>69</v>
      </c>
      <c r="E311" s="2">
        <v>51</v>
      </c>
      <c r="F311" s="2">
        <v>58</v>
      </c>
      <c r="G311" s="3">
        <v>43</v>
      </c>
      <c r="H311" s="4">
        <v>51</v>
      </c>
      <c r="I311" s="5">
        <v>62</v>
      </c>
      <c r="J311" s="2">
        <f t="shared" si="6"/>
        <v>156</v>
      </c>
      <c r="L311" s="17"/>
      <c r="N311" s="14"/>
      <c r="O311" s="28">
        <v>106110113</v>
      </c>
      <c r="P311" s="6" t="s">
        <v>1725</v>
      </c>
    </row>
    <row r="312" ht="185" spans="1:16">
      <c r="A312" s="1" t="s">
        <v>1726</v>
      </c>
      <c r="B312" s="324"/>
      <c r="C312" s="2">
        <v>70</v>
      </c>
      <c r="D312" s="2">
        <v>75</v>
      </c>
      <c r="E312" s="2">
        <v>72</v>
      </c>
      <c r="F312" s="2">
        <v>50</v>
      </c>
      <c r="G312" s="3">
        <v>63</v>
      </c>
      <c r="H312" s="4">
        <v>46</v>
      </c>
      <c r="I312" s="5">
        <v>45</v>
      </c>
      <c r="J312" s="2">
        <f t="shared" si="6"/>
        <v>154</v>
      </c>
      <c r="M312" s="2"/>
      <c r="O312" s="9"/>
      <c r="P312" s="10" t="s">
        <v>1727</v>
      </c>
    </row>
    <row r="313" ht="51" spans="1:16">
      <c r="A313" s="1" t="s">
        <v>1728</v>
      </c>
      <c r="B313" s="325"/>
      <c r="C313" s="2">
        <v>85</v>
      </c>
      <c r="D313" s="2">
        <v>80</v>
      </c>
      <c r="E313" s="2">
        <v>65</v>
      </c>
      <c r="F313" s="2">
        <v>40</v>
      </c>
      <c r="G313" s="3">
        <v>44</v>
      </c>
      <c r="H313" s="4">
        <v>47</v>
      </c>
      <c r="I313" s="5">
        <v>59</v>
      </c>
      <c r="J313" s="2">
        <f t="shared" si="6"/>
        <v>150</v>
      </c>
      <c r="K313" s="12"/>
      <c r="P313" s="6" t="s">
        <v>1729</v>
      </c>
    </row>
    <row r="314" ht="17" spans="1:16">
      <c r="A314" s="1" t="s">
        <v>1730</v>
      </c>
      <c r="B314" s="326"/>
      <c r="C314" s="2">
        <v>35</v>
      </c>
      <c r="D314" s="2">
        <v>96</v>
      </c>
      <c r="E314" s="2">
        <v>88</v>
      </c>
      <c r="F314" s="2">
        <v>55</v>
      </c>
      <c r="G314" s="3">
        <v>90</v>
      </c>
      <c r="H314" s="4">
        <v>31</v>
      </c>
      <c r="I314" s="5">
        <v>27</v>
      </c>
      <c r="J314" s="2">
        <f t="shared" si="6"/>
        <v>148</v>
      </c>
      <c r="L314" s="17"/>
    </row>
    <row r="315" ht="17" spans="1:16">
      <c r="A315" s="1" t="s">
        <v>1731</v>
      </c>
      <c r="B315" s="327"/>
      <c r="C315" s="2">
        <v>77</v>
      </c>
      <c r="D315" s="2">
        <v>68</v>
      </c>
      <c r="E315" s="2">
        <v>54</v>
      </c>
      <c r="F315" s="2">
        <v>66</v>
      </c>
      <c r="G315" s="3">
        <v>47</v>
      </c>
      <c r="H315" s="4">
        <v>47</v>
      </c>
      <c r="I315" s="5">
        <v>53</v>
      </c>
      <c r="J315" s="2">
        <f t="shared" si="6"/>
        <v>147</v>
      </c>
      <c r="L315" s="17"/>
    </row>
    <row r="316" ht="17" spans="1:16">
      <c r="A316" s="1" t="s">
        <v>1732</v>
      </c>
      <c r="B316" s="328"/>
      <c r="C316" s="2">
        <v>34</v>
      </c>
      <c r="D316" s="2">
        <v>98</v>
      </c>
      <c r="E316" s="2">
        <v>91</v>
      </c>
      <c r="F316" s="2">
        <v>53</v>
      </c>
      <c r="G316" s="3">
        <v>92</v>
      </c>
      <c r="H316" s="4">
        <v>30</v>
      </c>
      <c r="I316" s="5">
        <v>25</v>
      </c>
      <c r="J316" s="2">
        <f t="shared" si="6"/>
        <v>147</v>
      </c>
      <c r="L316" s="17"/>
    </row>
    <row r="317" ht="17" spans="1:16">
      <c r="A317" s="1" t="s">
        <v>1733</v>
      </c>
      <c r="B317" s="329"/>
      <c r="C317" s="2">
        <v>80</v>
      </c>
      <c r="D317" s="2">
        <v>70</v>
      </c>
      <c r="E317" s="2">
        <v>53</v>
      </c>
      <c r="F317" s="2">
        <v>65</v>
      </c>
      <c r="G317" s="3">
        <v>45</v>
      </c>
      <c r="H317" s="4">
        <v>46</v>
      </c>
      <c r="I317" s="5">
        <v>54</v>
      </c>
      <c r="J317" s="2">
        <f t="shared" si="6"/>
        <v>145</v>
      </c>
      <c r="L317" s="17"/>
    </row>
    <row r="318" ht="17" spans="1:16">
      <c r="A318" s="1" t="s">
        <v>1734</v>
      </c>
      <c r="B318" s="330"/>
      <c r="C318" s="2">
        <v>41</v>
      </c>
      <c r="D318" s="2">
        <v>84</v>
      </c>
      <c r="E318" s="2">
        <v>71</v>
      </c>
      <c r="F318" s="2">
        <v>67</v>
      </c>
      <c r="G318" s="3">
        <v>72</v>
      </c>
      <c r="H318" s="4">
        <v>37</v>
      </c>
      <c r="I318" s="5">
        <v>34</v>
      </c>
      <c r="J318" s="2">
        <f t="shared" si="6"/>
        <v>143</v>
      </c>
      <c r="L318" s="17"/>
    </row>
    <row r="319" ht="34" spans="1:16">
      <c r="A319" s="1" t="s">
        <v>1735</v>
      </c>
      <c r="B319" s="331"/>
      <c r="C319" s="2">
        <v>80</v>
      </c>
      <c r="D319" s="2">
        <v>75</v>
      </c>
      <c r="E319" s="2">
        <v>80</v>
      </c>
      <c r="F319" s="2">
        <v>45</v>
      </c>
      <c r="G319" s="3">
        <v>49</v>
      </c>
      <c r="H319" s="4">
        <v>50</v>
      </c>
      <c r="I319" s="5">
        <v>44</v>
      </c>
      <c r="J319" s="2">
        <f t="shared" si="6"/>
        <v>143</v>
      </c>
      <c r="K319" s="12"/>
      <c r="P319" s="6" t="s">
        <v>1736</v>
      </c>
    </row>
    <row r="320" ht="17" spans="1:16">
      <c r="A320" s="1" t="s">
        <v>1737</v>
      </c>
      <c r="B320" s="332"/>
      <c r="C320" s="2">
        <v>63</v>
      </c>
      <c r="D320" s="2">
        <v>74</v>
      </c>
      <c r="E320" s="2">
        <v>52</v>
      </c>
      <c r="F320" s="2">
        <v>70</v>
      </c>
      <c r="G320" s="3">
        <v>54</v>
      </c>
      <c r="H320" s="4">
        <v>41</v>
      </c>
      <c r="I320" s="5">
        <v>47</v>
      </c>
      <c r="J320" s="2">
        <f t="shared" si="6"/>
        <v>142</v>
      </c>
      <c r="L320" s="17"/>
      <c r="N320" s="14"/>
      <c r="P320" s="6" t="s">
        <v>1738</v>
      </c>
    </row>
    <row r="321" ht="17" spans="1:16">
      <c r="A321" s="1" t="s">
        <v>1739</v>
      </c>
      <c r="B321" s="333"/>
      <c r="C321" s="2">
        <v>57</v>
      </c>
      <c r="D321" s="2">
        <v>72</v>
      </c>
      <c r="E321" s="2">
        <v>54</v>
      </c>
      <c r="F321" s="2">
        <v>74</v>
      </c>
      <c r="G321" s="3">
        <v>54</v>
      </c>
      <c r="H321" s="4">
        <v>40</v>
      </c>
      <c r="I321" s="5">
        <v>43</v>
      </c>
      <c r="J321" s="2">
        <f t="shared" si="6"/>
        <v>137</v>
      </c>
      <c r="L321" s="17"/>
    </row>
    <row r="322" ht="202" spans="1:16">
      <c r="A322" s="1" t="s">
        <v>1740</v>
      </c>
      <c r="B322" s="334"/>
      <c r="C322" s="2">
        <v>40</v>
      </c>
      <c r="D322" s="2">
        <v>22</v>
      </c>
      <c r="E322" s="2">
        <v>0</v>
      </c>
      <c r="F322" s="2">
        <v>88</v>
      </c>
      <c r="G322" s="3">
        <v>37</v>
      </c>
      <c r="H322" s="4">
        <v>42</v>
      </c>
      <c r="I322" s="5">
        <v>58</v>
      </c>
      <c r="J322" s="2">
        <f t="shared" si="6"/>
        <v>137</v>
      </c>
      <c r="M322" s="12" t="s">
        <v>1741</v>
      </c>
      <c r="N322" s="14"/>
      <c r="O322" s="9"/>
      <c r="P322" s="6" t="s">
        <v>1742</v>
      </c>
    </row>
    <row r="323" ht="17" spans="1:16">
      <c r="A323" s="1" t="s">
        <v>1743</v>
      </c>
      <c r="B323" s="335"/>
      <c r="C323" s="2">
        <v>43</v>
      </c>
      <c r="D323" s="2">
        <v>79</v>
      </c>
      <c r="E323" s="2">
        <v>77</v>
      </c>
      <c r="F323" s="2">
        <v>63</v>
      </c>
      <c r="G323" s="3">
        <v>76</v>
      </c>
      <c r="H323" s="4">
        <v>34</v>
      </c>
      <c r="I323" s="5">
        <v>27</v>
      </c>
      <c r="J323" s="2">
        <f t="shared" si="6"/>
        <v>137</v>
      </c>
      <c r="M323" s="12"/>
      <c r="P323" s="6" t="s">
        <v>1744</v>
      </c>
    </row>
    <row r="324" ht="17" spans="1:16">
      <c r="A324" s="1" t="s">
        <v>1745</v>
      </c>
      <c r="B324" s="336"/>
      <c r="C324" s="2">
        <v>40</v>
      </c>
      <c r="D324" s="2">
        <v>92</v>
      </c>
      <c r="E324" s="2">
        <v>78</v>
      </c>
      <c r="F324" s="2">
        <v>66</v>
      </c>
      <c r="G324" s="3">
        <v>72</v>
      </c>
      <c r="H324" s="4">
        <v>30</v>
      </c>
      <c r="I324" s="5">
        <v>28</v>
      </c>
      <c r="J324" s="2">
        <f t="shared" si="6"/>
        <v>130</v>
      </c>
      <c r="L324" s="17"/>
    </row>
    <row r="325" ht="17" spans="1:16">
      <c r="A325" s="1" t="s">
        <v>1746</v>
      </c>
      <c r="B325" s="337"/>
      <c r="C325" s="2">
        <v>65</v>
      </c>
      <c r="D325" s="2">
        <v>80</v>
      </c>
      <c r="E325" s="2">
        <v>90</v>
      </c>
      <c r="F325" s="2">
        <v>55</v>
      </c>
      <c r="G325" s="3">
        <v>66</v>
      </c>
      <c r="H325" s="4">
        <v>37</v>
      </c>
      <c r="I325" s="5">
        <v>23</v>
      </c>
      <c r="J325" s="2">
        <f t="shared" si="6"/>
        <v>126</v>
      </c>
      <c r="K325" s="12"/>
      <c r="P325" s="6" t="s">
        <v>1747</v>
      </c>
    </row>
    <row r="326" ht="17" spans="1:16">
      <c r="A326" s="1" t="s">
        <v>1748</v>
      </c>
      <c r="B326" s="338"/>
      <c r="C326" s="2">
        <v>42</v>
      </c>
      <c r="D326" s="2">
        <v>99</v>
      </c>
      <c r="E326" s="2">
        <v>51</v>
      </c>
      <c r="F326" s="2">
        <v>69</v>
      </c>
      <c r="G326" s="3">
        <v>68</v>
      </c>
      <c r="H326" s="4">
        <v>14</v>
      </c>
      <c r="I326" s="5">
        <v>37</v>
      </c>
      <c r="J326" s="2">
        <f t="shared" si="6"/>
        <v>119</v>
      </c>
      <c r="L326" s="17"/>
    </row>
    <row r="327" ht="17" spans="1:16">
      <c r="A327" s="1" t="s">
        <v>1749</v>
      </c>
      <c r="B327" s="339"/>
      <c r="C327" s="2">
        <v>90</v>
      </c>
      <c r="D327" s="2">
        <v>85</v>
      </c>
      <c r="E327" s="2">
        <v>70</v>
      </c>
      <c r="F327" s="2">
        <v>45</v>
      </c>
      <c r="G327" s="3">
        <v>30</v>
      </c>
      <c r="H327" s="4">
        <v>39</v>
      </c>
      <c r="I327" s="5">
        <v>50</v>
      </c>
      <c r="J327" s="2">
        <f t="shared" si="6"/>
        <v>119</v>
      </c>
      <c r="K327" s="12"/>
      <c r="P327" s="6" t="s">
        <v>1750</v>
      </c>
    </row>
    <row r="328" ht="17" spans="1:16">
      <c r="A328" s="1" t="s">
        <v>1751</v>
      </c>
      <c r="B328" s="340"/>
      <c r="C328" s="2">
        <v>61</v>
      </c>
      <c r="D328" s="2">
        <v>67</v>
      </c>
      <c r="E328" s="2">
        <v>69</v>
      </c>
      <c r="F328" s="2">
        <v>70</v>
      </c>
      <c r="G328" s="3">
        <v>49</v>
      </c>
      <c r="H328" s="4">
        <v>37</v>
      </c>
      <c r="I328" s="5">
        <v>32</v>
      </c>
      <c r="J328" s="2">
        <f t="shared" si="6"/>
        <v>118</v>
      </c>
      <c r="M328" s="12"/>
      <c r="P328" s="6" t="s">
        <v>1752</v>
      </c>
    </row>
    <row r="329" ht="17" spans="1:16">
      <c r="A329" s="1" t="s">
        <v>1753</v>
      </c>
      <c r="B329" s="341"/>
      <c r="M329" s="2"/>
      <c r="N329" s="14"/>
      <c r="P329" s="6" t="s">
        <v>1754</v>
      </c>
    </row>
    <row r="330" ht="185" spans="1:16">
      <c r="A330" s="1" t="s">
        <v>1755</v>
      </c>
      <c r="B330" s="342"/>
      <c r="C330" s="2">
        <v>0</v>
      </c>
      <c r="D330" s="2">
        <v>0</v>
      </c>
      <c r="E330" s="2">
        <v>0</v>
      </c>
      <c r="F330" s="2">
        <v>96</v>
      </c>
      <c r="G330" s="3">
        <v>44</v>
      </c>
      <c r="H330" s="4">
        <v>35</v>
      </c>
      <c r="I330" s="5">
        <v>33</v>
      </c>
      <c r="J330" s="2">
        <f>G330+H330+I330</f>
        <v>112</v>
      </c>
      <c r="M330" s="12" t="s">
        <v>1756</v>
      </c>
      <c r="N330" s="14"/>
      <c r="O330" s="9"/>
      <c r="P330" s="6" t="s">
        <v>1757</v>
      </c>
    </row>
    <row r="331" ht="17" spans="1:16">
      <c r="A331" s="1" t="s">
        <v>1758</v>
      </c>
      <c r="B331" s="343"/>
      <c r="C331" s="2">
        <v>85</v>
      </c>
      <c r="D331" s="2">
        <v>75</v>
      </c>
      <c r="E331" s="2">
        <v>60</v>
      </c>
      <c r="F331" s="2">
        <v>65</v>
      </c>
      <c r="G331" s="3">
        <v>21</v>
      </c>
      <c r="H331" s="4">
        <v>29</v>
      </c>
      <c r="I331" s="5">
        <v>41</v>
      </c>
      <c r="J331" s="2">
        <f t="shared" si="6"/>
        <v>91</v>
      </c>
      <c r="K331" s="12"/>
      <c r="P331" s="6" t="s">
        <v>1759</v>
      </c>
    </row>
    <row r="332" ht="152" spans="1:16">
      <c r="A332" s="1" t="s">
        <v>1760</v>
      </c>
      <c r="B332" s="344"/>
      <c r="C332" s="2">
        <v>81</v>
      </c>
      <c r="D332" s="2">
        <v>74</v>
      </c>
      <c r="E332" s="2">
        <v>57</v>
      </c>
      <c r="F332" s="2">
        <v>73</v>
      </c>
      <c r="G332" s="3">
        <v>22</v>
      </c>
      <c r="H332" s="4">
        <v>24</v>
      </c>
      <c r="I332" s="5">
        <v>35</v>
      </c>
      <c r="J332" s="2">
        <f t="shared" si="6"/>
        <v>81</v>
      </c>
      <c r="M332" s="12"/>
      <c r="N332" s="14"/>
      <c r="O332" s="9" t="s">
        <v>1761</v>
      </c>
      <c r="P332" s="6" t="s">
        <v>1762</v>
      </c>
    </row>
    <row r="333" ht="17" spans="1:16">
      <c r="A333" s="1" t="s">
        <v>1763</v>
      </c>
      <c r="B333" s="345"/>
      <c r="M333" s="2"/>
      <c r="N333" s="14"/>
      <c r="P333" s="6" t="s">
        <v>1764</v>
      </c>
    </row>
    <row r="334" ht="17" spans="1:16">
      <c r="A334" s="1" t="s">
        <v>1765</v>
      </c>
      <c r="B334" s="346"/>
      <c r="M334" s="2"/>
      <c r="N334" s="14"/>
      <c r="P334" s="6" t="s">
        <v>1766</v>
      </c>
    </row>
    <row r="335" ht="17" spans="1:16">
      <c r="A335" s="1" t="s">
        <v>1767</v>
      </c>
      <c r="B335" s="347"/>
      <c r="M335" s="2"/>
      <c r="N335" s="14"/>
      <c r="P335" s="6" t="s">
        <v>1768</v>
      </c>
    </row>
    <row r="336" ht="17" spans="1:16">
      <c r="A336" s="1" t="s">
        <v>1769</v>
      </c>
      <c r="B336" s="348"/>
      <c r="M336" s="2"/>
      <c r="N336" s="14"/>
      <c r="P336" s="6" t="s">
        <v>1770</v>
      </c>
    </row>
    <row r="337" ht="404" spans="1:16">
      <c r="A337" s="1" t="s">
        <v>1771</v>
      </c>
      <c r="B337" s="349"/>
      <c r="C337" s="2">
        <v>35</v>
      </c>
      <c r="D337" s="2">
        <v>35</v>
      </c>
      <c r="E337" s="2">
        <v>0</v>
      </c>
      <c r="F337" s="2">
        <v>100</v>
      </c>
      <c r="G337" s="3">
        <v>16</v>
      </c>
      <c r="H337" s="4">
        <v>0</v>
      </c>
      <c r="I337" s="5">
        <v>17</v>
      </c>
      <c r="J337" s="2">
        <f t="shared" si="6"/>
        <v>33</v>
      </c>
      <c r="M337" s="12" t="s">
        <v>1772</v>
      </c>
      <c r="O337" s="9"/>
      <c r="P337" s="6" t="s">
        <v>1773</v>
      </c>
    </row>
  </sheetData>
  <mergeCells count="2">
    <mergeCell ref="C1:F1"/>
    <mergeCell ref="G1:I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蓝</vt:lpstr>
      <vt:lpstr>红</vt:lpstr>
      <vt:lpstr>橙</vt:lpstr>
      <vt:lpstr>黄</vt:lpstr>
      <vt:lpstr>绿</vt:lpstr>
      <vt:lpstr>青</vt:lpstr>
      <vt:lpstr>紫</vt:lpstr>
      <vt:lpstr>灰褐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cp:lastModifiedBy>
  <dcterms:created xsi:type="dcterms:W3CDTF">2015-06-07T18:19:00Z</dcterms:created>
  <dcterms:modified xsi:type="dcterms:W3CDTF">2025-11-28T20:27:18Z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1A996FA16F88B467E8542069AF45BF3B_42</vt:lpwstr>
  </property>
</Properties>
</file>